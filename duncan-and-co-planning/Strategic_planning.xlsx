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  <xf numFmtId="0" fontId="0" fillId="13" borderId="16" applyAlignment="1" pivotButton="0" quotePrefix="0" xfId="0">
      <alignment vertical="center" wrapText="1"/>
    </xf>
    <xf numFmtId="0" fontId="12" fillId="14" borderId="16" applyAlignment="1" pivotButton="0" quotePrefix="0" xfId="0">
      <alignment vertical="center" wrapText="1"/>
    </xf>
    <xf numFmtId="0" fontId="0" fillId="12" borderId="16" pivotButton="0" quotePrefix="0" xfId="0"/>
    <xf numFmtId="166" fontId="9" fillId="12" borderId="16" applyAlignment="1" pivotButton="0" quotePrefix="0" xfId="0">
      <alignment vertical="center" wrapText="1"/>
    </xf>
    <xf numFmtId="166" fontId="0" fillId="13" borderId="16" applyAlignment="1" pivotButton="0" quotePrefix="0" xfId="0">
      <alignment vertical="center" wrapText="1"/>
    </xf>
    <xf numFmtId="164" fontId="9" fillId="12" borderId="1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48" customHeight="1">
      <c r="A14" s="13" t="inlineStr">
        <is>
          <t>Fee structure</t>
        </is>
      </c>
      <c r="B14" s="85" t="inlineStr">
        <is>
          <t>Standard purchase &amp; remortgage: £195 on application, £300 on offer. Debt consolidation / adverse: £495 on application, £500 on offer. International: £495 on application, £1,000 on offer.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85" t="inlineStr">
        <is>
          <t>Mortgage and protection; bridging; buy-to-let and commercial (B&amp;C)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Duncan</t>
        </is>
      </c>
      <c r="B20" s="49" t="inlineStr">
        <is>
          <t>Director / Mortgage &amp; Protection Adviser</t>
        </is>
      </c>
      <c r="C20" s="49" t="inlineStr">
        <is>
          <t>Yes</t>
        </is>
      </c>
      <c r="D20" s="49" t="inlineStr">
        <is>
          <t>Self-employed</t>
        </is>
      </c>
      <c r="E20" s="49" t="inlineStr">
        <is>
          <t>Edinburgh</t>
        </is>
      </c>
      <c r="F20" s="49" t="inlineStr">
        <is>
          <t>Mortgage, protection, bridging, BTL &amp; commercial</t>
        </is>
      </c>
      <c r="G20" s="49" t="inlineStr">
        <is>
          <t>No (self at launch)</t>
        </is>
      </c>
      <c r="H20" s="49" t="inlineStr">
        <is>
          <t>No</t>
        </is>
      </c>
    </row>
    <row r="21" ht="32" customHeight="1">
      <c r="A21" s="86" t="n"/>
      <c r="B21" s="86" t="n"/>
      <c r="C21" s="86" t="n"/>
      <c r="D21" s="86" t="n"/>
      <c r="E21" s="86" t="n"/>
      <c r="F21" s="86" t="n"/>
      <c r="G21" s="86" t="n"/>
      <c r="H21" s="86" t="n"/>
    </row>
    <row r="22" ht="32" customHeight="1">
      <c r="A22" s="86" t="n"/>
      <c r="B22" s="86" t="n"/>
      <c r="C22" s="86" t="n"/>
      <c r="D22" s="86" t="n"/>
      <c r="E22" s="86" t="n"/>
      <c r="F22" s="86" t="n"/>
      <c r="G22" s="86" t="n"/>
      <c r="H22" s="86" t="n"/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22" customHeight="1">
      <c r="A24" s="60" t="inlineStr">
        <is>
          <t>Lead-out and commercial split</t>
        </is>
      </c>
      <c r="B24" s="52" t="n"/>
      <c r="C24" s="52" t="n"/>
      <c r="D24" s="52" t="n"/>
      <c r="E24" s="52" t="n"/>
      <c r="F24" s="52" t="n"/>
      <c r="G24" s="52" t="n"/>
      <c r="H24" s="53" t="n"/>
    </row>
    <row r="25" ht="36" customHeight="1">
      <c r="A25" s="87" t="inlineStr">
        <is>
          <t>Duncan &amp; Co can pass leads out to specialist advisers (bridging, commercial, BTL, overflow or other work the firm does not keep) for an agreed commercial split.</t>
        </is>
      </c>
      <c r="B25" s="52" t="n"/>
      <c r="C25" s="52" t="n"/>
      <c r="D25" s="52" t="n"/>
      <c r="E25" s="52" t="n"/>
      <c r="F25" s="52" t="n"/>
      <c r="G25" s="52" t="n"/>
      <c r="H25" s="53" t="n"/>
    </row>
    <row r="26" ht="28" customHeight="1">
      <c r="A26" s="63" t="inlineStr">
        <is>
          <t>Split terms</t>
        </is>
      </c>
      <c r="B26" s="49" t="inlineStr">
        <is>
          <t>50/50 split. The customer remains a Duncan &amp; Co Financial customer.</t>
        </is>
      </c>
      <c r="C26" s="52" t="n"/>
      <c r="D26" s="52" t="n"/>
      <c r="E26" s="52" t="n"/>
      <c r="F26" s="52" t="n"/>
      <c r="G26" s="52" t="n"/>
      <c r="H26" s="53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</t>
        </is>
      </c>
      <c r="B36" s="49" t="inlineStr">
        <is>
          <t>Email introduction (Edinburgh &amp; Lothians)</t>
        </is>
      </c>
      <c r="C36" s="49" t="inlineStr">
        <is>
          <t>Estate agent</t>
        </is>
      </c>
      <c r="D36" s="49" t="inlineStr">
        <is>
          <t>5–7 leads a month</t>
        </is>
      </c>
      <c r="E36" s="89" t="inlineStr">
        <is>
          <t>1 in 3 conversion</t>
        </is>
      </c>
      <c r="F36" s="49" t="inlineStr">
        <is>
          <t>David Alexander</t>
        </is>
      </c>
    </row>
    <row r="37" ht="36" customHeight="1">
      <c r="A37" s="49" t="inlineStr">
        <is>
          <t>Thorntons Solicitors</t>
        </is>
      </c>
      <c r="B37" s="49" t="inlineStr">
        <is>
          <t>Email introduction (Edinburgh &amp; Lothians)</t>
        </is>
      </c>
      <c r="C37" s="49" t="inlineStr">
        <is>
          <t>Solicitor</t>
        </is>
      </c>
      <c r="D37" s="49" t="inlineStr">
        <is>
          <t>3–7 leads a month</t>
        </is>
      </c>
      <c r="E37" s="89" t="inlineStr">
        <is>
          <t>1 in 3 conversion</t>
        </is>
      </c>
      <c r="F37" s="49" t="inlineStr">
        <is>
          <t>Hannah Fraser</t>
        </is>
      </c>
    </row>
    <row r="38" ht="36" customHeight="1">
      <c r="A38" s="49" t="inlineStr">
        <is>
          <t>TBC — system referral process</t>
        </is>
      </c>
      <c r="B38" s="49" t="inlineStr">
        <is>
          <t>System-related referral process</t>
        </is>
      </c>
      <c r="C38" s="49" t="inlineStr">
        <is>
          <t>Estate agent</t>
        </is>
      </c>
      <c r="D38" s="49" t="inlineStr">
        <is>
          <t>10–20 leads a week (estimate)</t>
        </is>
      </c>
      <c r="E38" s="89" t="inlineStr">
        <is>
          <t>1 in 3 conversion</t>
        </is>
      </c>
      <c r="F38" s="49" t="inlineStr">
        <is>
          <t>No notes</t>
        </is>
      </c>
    </row>
    <row r="39" ht="36" customHeight="1">
      <c r="A39" s="86" t="n"/>
      <c r="B39" s="86" t="n"/>
      <c r="C39" s="86" t="n"/>
      <c r="D39" s="86" t="n"/>
      <c r="E39" s="90" t="n"/>
      <c r="F39" s="86" t="n"/>
    </row>
    <row r="40" ht="36" customHeight="1">
      <c r="A40" s="86" t="n"/>
      <c r="B40" s="86" t="n"/>
      <c r="C40" s="86" t="n"/>
      <c r="D40" s="86" t="n"/>
      <c r="E40" s="90" t="n"/>
      <c r="F40" s="86" t="n"/>
    </row>
    <row r="41" ht="36" customHeight="1">
      <c r="A41" s="86" t="n"/>
      <c r="B41" s="86" t="n"/>
      <c r="C41" s="86" t="n"/>
      <c r="D41" s="86" t="n"/>
      <c r="E41" s="90" t="n"/>
      <c r="F41" s="86" t="n"/>
    </row>
    <row r="42" ht="36" customHeight="1">
      <c r="A42" s="86" t="n"/>
      <c r="B42" s="86" t="n"/>
      <c r="C42" s="86" t="n"/>
      <c r="D42" s="86" t="n"/>
      <c r="E42" s="90" t="n"/>
      <c r="F42" s="86" t="n"/>
    </row>
    <row r="43" ht="36" customHeight="1">
      <c r="A43" s="86" t="n"/>
      <c r="B43" s="86" t="n"/>
      <c r="C43" s="86" t="n"/>
      <c r="D43" s="86" t="n"/>
      <c r="E43" s="90" t="n"/>
      <c r="F43" s="86" t="n"/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8">
    <mergeCell ref="A18:H18"/>
    <mergeCell ref="B8:H8"/>
    <mergeCell ref="B14:H14"/>
    <mergeCell ref="A3:H3"/>
    <mergeCell ref="B26:H26"/>
    <mergeCell ref="B9:H9"/>
    <mergeCell ref="B13:H13"/>
    <mergeCell ref="A25:H25"/>
    <mergeCell ref="A24:H24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46300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91" t="n">
        <v>790000</v>
      </c>
      <c r="C7" s="36" t="n">
        <v>2</v>
      </c>
      <c r="D7" s="38" t="inlineStr">
        <is>
          <t>Named sources only (DJ Alexander + Thorntons). Mid-point of 3–5 completions × £180k–£250k. Income = 0.35% of this written amount.</t>
        </is>
      </c>
      <c r="E7" s="40" t="n"/>
      <c r="F7" s="41" t="n"/>
    </row>
    <row r="8">
      <c r="A8" t="inlineStr">
        <is>
          <t>Protection</t>
        </is>
      </c>
      <c r="B8" s="91" t="n">
        <v>2000</v>
      </c>
      <c r="C8" s="36" t="n">
        <v>2</v>
      </c>
      <c r="D8" s="38" t="inlineStr">
        <is>
          <t>Cash: £1,000 per protection case; 1–3 cases a month (mid £2,000). Not a large written-volume figure.</t>
        </is>
      </c>
      <c r="E8" s="40" t="n"/>
      <c r="F8" s="41" t="n"/>
    </row>
    <row r="9">
      <c r="A9" t="inlineStr">
        <is>
          <t>Other Income</t>
        </is>
      </c>
      <c r="B9" s="55" t="n">
        <v>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Confirmed</t>
        </is>
      </c>
      <c r="D12" s="56" t="inlineStr">
        <is>
          <t>Robert Duncan: mortgage income is 0.35% of borrowing. Typical loan £180k–£250k.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2000</v>
      </c>
      <c r="C13" s="50" t="inlineStr">
        <is>
          <t>Confirmed</t>
        </is>
      </c>
      <c r="D13" s="56" t="inlineStr">
        <is>
          <t>Robert: £1,000 per case, 1–3 cases a month. Mid-point £2,000 cash before 15% retention.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0</v>
      </c>
      <c r="C21" s="50" t="inlineStr">
        <is>
          <t>Fixed</t>
        </is>
      </c>
      <c r="D21" s="50" t="inlineStr">
        <is>
          <t>Confirmed</t>
        </is>
      </c>
      <c r="E21" s="56" t="inlineStr">
        <is>
          <t>Tesla Model Y is in Robert’s personal name — not a business cost.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0</v>
      </c>
      <c r="C22" s="50" t="inlineStr">
        <is>
          <t>Fixed</t>
        </is>
      </c>
      <c r="D22" s="50" t="inlineStr">
        <is>
          <t>Ignored</t>
        </is>
      </c>
      <c r="E22" s="56" t="inlineStr">
        <is>
          <t>Ignored — not a business cost for this plan.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0</v>
      </c>
      <c r="C23" s="50" t="inlineStr">
        <is>
          <t>Variable</t>
        </is>
      </c>
      <c r="D23" s="50" t="inlineStr">
        <is>
          <t>Ignored</t>
        </is>
      </c>
      <c r="E23" s="56" t="inlineStr">
        <is>
          <t>Ignored — not a business cost for this plan.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Confirmed</t>
        </is>
      </c>
      <c r="E24" s="56" t="inlineStr">
        <is>
          <t>£45/month — confirmed by Robert.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Confirmed</t>
        </is>
      </c>
      <c r="E25" s="56" t="inlineStr">
        <is>
          <t>£30 home-office share — left as is by Robert.</t>
        </is>
      </c>
      <c r="F25" s="66">
        <f>B25*12</f>
        <v/>
      </c>
    </row>
    <row r="26" ht="28" customHeight="1">
      <c r="A26" s="63" t="inlineStr">
        <is>
          <t>Office subscription</t>
        </is>
      </c>
      <c r="B26" s="64" t="n">
        <v>30</v>
      </c>
      <c r="C26" s="50" t="inlineStr">
        <is>
          <t>Fixed</t>
        </is>
      </c>
      <c r="D26" s="50" t="inlineStr">
        <is>
          <t>Confirmed</t>
        </is>
      </c>
      <c r="E26" s="56" t="inlineStr">
        <is>
          <t>Office subscription (Robert).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name and website</t>
        </is>
      </c>
      <c r="B29" s="64" t="n">
        <v>14.99</v>
      </c>
      <c r="C29" s="50" t="inlineStr">
        <is>
          <t>Fixed</t>
        </is>
      </c>
      <c r="D29" s="50" t="inlineStr">
        <is>
          <t>Confirmed</t>
        </is>
      </c>
      <c r="E29" s="56" t="inlineStr">
        <is>
          <t>Domain name and website together.</t>
        </is>
      </c>
      <c r="F29" s="66">
        <f>B29*12</f>
        <v/>
      </c>
    </row>
    <row r="30" ht="28" customHeight="1">
      <c r="A30" s="63" t="inlineStr">
        <is>
          <t>Web hosting (included above)</t>
        </is>
      </c>
      <c r="B30" s="64" t="n">
        <v>0</v>
      </c>
      <c r="C30" s="50" t="inlineStr">
        <is>
          <t>Fixed</t>
        </is>
      </c>
      <c r="D30" s="50" t="inlineStr">
        <is>
          <t>Confirmed</t>
        </is>
      </c>
      <c r="E30" s="56" t="inlineStr">
        <is>
          <t>Included in the £14.99 domain/website line.</t>
        </is>
      </c>
      <c r="F30" s="66">
        <f>B30*12</f>
        <v/>
      </c>
    </row>
    <row r="31" ht="28" customHeight="1">
      <c r="A31" s="63" t="inlineStr">
        <is>
          <t>AI package</t>
        </is>
      </c>
      <c r="B31" s="64" t="n">
        <v>72</v>
      </c>
      <c r="C31" s="50" t="inlineStr">
        <is>
          <t>Variable</t>
        </is>
      </c>
      <c r="D31" s="50" t="inlineStr">
        <is>
          <t>Confirmed</t>
        </is>
      </c>
      <c r="E31" s="56" t="inlineStr">
        <is>
          <t>AI package (Robert).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Laptop (monthly)</t>
        </is>
      </c>
      <c r="B36" s="64" t="n">
        <v>50</v>
      </c>
      <c r="C36" s="50" t="inlineStr">
        <is>
          <t>Variable</t>
        </is>
      </c>
      <c r="D36" s="50" t="inlineStr">
        <is>
          <t>Confirmed</t>
        </is>
      </c>
      <c r="E36" s="56" t="inlineStr">
        <is>
          <t>Laptop on a monthly basis (Robert).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0</v>
      </c>
      <c r="C42" s="50" t="inlineStr">
        <is>
          <t>One-off</t>
        </is>
      </c>
      <c r="D42" s="50" t="inlineStr">
        <is>
          <t>Moved</t>
        </is>
      </c>
      <c r="E42" s="56" t="inlineStr">
        <is>
          <t>Laptop is £50/month in operating costs, not a one-off.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0</v>
      </c>
      <c r="C43" s="50" t="inlineStr">
        <is>
          <t>One-off</t>
        </is>
      </c>
      <c r="D43" s="50" t="inlineStr">
        <is>
          <t>Included</t>
        </is>
      </c>
      <c r="E43" s="56" t="inlineStr">
        <is>
          <t>Website is in the £14.99 monthly domain/website line.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64" t="n">
        <v>480</v>
      </c>
      <c r="C44" s="50" t="inlineStr">
        <is>
          <t>One-off</t>
        </is>
      </c>
      <c r="D44" s="50" t="inlineStr">
        <is>
          <t>Confirmed</t>
        </is>
      </c>
      <c r="E44" s="56" t="inlineStr">
        <is>
          <t>£400 + VAT for business registration and setup.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Typical completed mortgage: £180,000–£250,000. Income = 0.35% of that borrowing (confirmed by Robert).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Named sources only (DJ 5–7 + Thorntons 3–7, 1 in 3): about 3–5 completions/month. Mid written ≈ £790k; mid income before network ≈ £2,800.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If TBC system 10–20/week is included at 1 in 3, written jumps to several million a month. Decide whether that sits in the 2027 target.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2026-09-06T23:21:23Z</dcterms:modified>
  <cp:lastModifiedBy>David Wright</cp:lastModifiedBy>
</cp:coreProperties>
</file>