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1725" windowWidth="29040" windowHeight="15720" tabRatio="600" firstSheet="0" activeTab="6" autoFilterDateGrouping="1"/>
  </bookViews>
  <sheets>
    <sheet name="Business Overview" sheetId="1" state="visible" r:id="rId1"/>
    <sheet name="Executive Summary" sheetId="2" state="visible" r:id="rId2"/>
    <sheet name="Financial Plan" sheetId="3" state="visible" r:id="rId3"/>
    <sheet name="Quarterly Planner" sheetId="4" state="visible" r:id="rId4"/>
    <sheet name="Strategy Plan" sheetId="5" state="visible" r:id="rId5"/>
    <sheet name="KPI Tracker" sheetId="6" state="visible" r:id="rId6"/>
    <sheet name="Risks &amp; Actions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£&quot;#,##0"/>
    <numFmt numFmtId="165" formatCode="dd\-mmm\-yyyy"/>
    <numFmt numFmtId="166" formatCode="0.0%"/>
  </numFmts>
  <fonts count="9">
    <font>
      <name val="Carlito"/>
      <sz val="11"/>
    </font>
    <font>
      <name val="Carlito"/>
      <b val="1"/>
      <color rgb="FFFFFFFF"/>
      <sz val="11"/>
    </font>
    <font>
      <name val="Carlito"/>
      <i val="1"/>
      <color rgb="FF5B6573"/>
      <sz val="11"/>
    </font>
    <font>
      <name val="Carlito"/>
      <color rgb="FF0070C0"/>
      <sz val="11"/>
    </font>
    <font>
      <name val="Carlito"/>
      <color rgb="FF1F2937"/>
      <sz val="11"/>
    </font>
    <font>
      <name val="Carlito"/>
      <b val="1"/>
      <color rgb="FF00205B"/>
      <sz val="11"/>
    </font>
    <font>
      <name val="Carlito"/>
      <b val="1"/>
      <color rgb="FF5B6573"/>
      <sz val="11"/>
    </font>
    <font>
      <name val="Aptos"/>
      <b val="1"/>
      <color rgb="FF37352F"/>
      <sz val="11"/>
    </font>
    <font>
      <name val="Aptos"/>
      <color rgb="FF37352F"/>
      <sz val="11"/>
    </font>
  </fonts>
  <fills count="12">
    <fill>
      <patternFill/>
    </fill>
    <fill>
      <patternFill patternType="gray125"/>
    </fill>
    <fill>
      <patternFill patternType="solid">
        <fgColor rgb="FF00205B"/>
      </patternFill>
    </fill>
    <fill>
      <patternFill patternType="solid">
        <fgColor rgb="FFEAF2F8"/>
      </patternFill>
    </fill>
    <fill>
      <patternFill patternType="solid">
        <fgColor rgb="FF287FA1"/>
      </patternFill>
    </fill>
    <fill>
      <patternFill patternType="solid">
        <fgColor rgb="FFFFF4CC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F7F6F3"/>
      </patternFill>
    </fill>
    <fill>
      <patternFill patternType="solid">
        <fgColor rgb="FFEEF5FB"/>
      </patternFill>
    </fill>
    <fill>
      <patternFill patternType="solid">
        <fgColor rgb="FFF1F8F2"/>
      </patternFill>
    </fill>
    <fill>
      <patternFill patternType="solid">
        <fgColor rgb="FFF7F1FA"/>
      </patternFill>
    </fill>
  </fills>
  <borders count="16">
    <border>
      <left/>
      <right/>
      <top/>
      <bottom/>
      <diagonal/>
    </border>
    <border>
      <left style="thin">
        <color rgb="FFC9D5DC"/>
      </left>
      <right style="thin">
        <color rgb="FFC9D5DC"/>
      </right>
      <top style="thin">
        <color rgb="FFC9D5DC"/>
      </top>
      <bottom style="thin">
        <color rgb="FFC9D5DC"/>
      </bottom>
      <diagonal/>
    </border>
    <border>
      <left style="medium">
        <color rgb="FF287FA1"/>
      </left>
      <right/>
      <top style="medium">
        <color rgb="FF287FA1"/>
      </top>
      <bottom/>
      <diagonal/>
    </border>
    <border>
      <left/>
      <right/>
      <top style="medium">
        <color rgb="FF287FA1"/>
      </top>
      <bottom/>
      <diagonal/>
    </border>
    <border>
      <left/>
      <right style="medium">
        <color rgb="FF287FA1"/>
      </right>
      <top style="medium">
        <color rgb="FF287FA1"/>
      </top>
      <bottom/>
      <diagonal/>
    </border>
    <border>
      <left style="medium">
        <color rgb="FF287FA1"/>
      </left>
      <right/>
      <top/>
      <bottom style="medium">
        <color rgb="FF287FA1"/>
      </bottom>
      <diagonal/>
    </border>
    <border>
      <left/>
      <right/>
      <top/>
      <bottom style="medium">
        <color rgb="FF287FA1"/>
      </bottom>
      <diagonal/>
    </border>
    <border>
      <left/>
      <right style="medium">
        <color rgb="FF287FA1"/>
      </right>
      <top/>
      <bottom style="medium">
        <color rgb="FF287FA1"/>
      </bottom>
      <diagonal/>
    </border>
    <border>
      <left style="thin">
        <color rgb="FFE1DDD6"/>
      </left>
      <right style="thin">
        <color rgb="FFE1DDD6"/>
      </right>
      <top style="thin">
        <color rgb="FFE1DDD6"/>
      </top>
      <bottom style="thin">
        <color rgb="FFE1DDD6"/>
      </bottom>
      <diagonal/>
    </border>
    <border>
      <left/>
      <right/>
      <top style="thin">
        <color rgb="FFC9D5DC"/>
      </top>
      <bottom/>
      <diagonal/>
    </border>
    <border>
      <left/>
      <right style="thin">
        <color rgb="FFC9D5DC"/>
      </right>
      <top style="thin">
        <color rgb="FFC9D5DC"/>
      </top>
      <bottom/>
      <diagonal/>
    </border>
    <border>
      <left/>
      <right/>
      <top style="thin">
        <color rgb="FFC9D5DC"/>
      </top>
      <bottom style="thin">
        <color rgb="FFC9D5DC"/>
      </bottom>
      <diagonal/>
    </border>
    <border>
      <left/>
      <right style="thin">
        <color rgb="FFC9D5DC"/>
      </right>
      <top style="thin">
        <color rgb="FFC9D5DC"/>
      </top>
      <bottom style="thin">
        <color rgb="FFC9D5DC"/>
      </bottom>
      <diagonal/>
    </border>
    <border>
      <left style="medium">
        <color rgb="FF287FA1"/>
      </left>
      <right style="medium">
        <color rgb="FF287FA1"/>
      </right>
      <top style="medium">
        <color rgb="FF287FA1"/>
      </top>
      <bottom style="medium">
        <color rgb="FF287FA1"/>
      </bottom>
      <diagonal/>
    </border>
    <border>
      <left style="medium">
        <color rgb="FF287FA1"/>
      </left>
      <right/>
      <top/>
      <bottom/>
      <diagonal/>
    </border>
    <border>
      <left/>
      <right style="medium">
        <color rgb="FF287FA1"/>
      </right>
      <top/>
      <bottom/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center" wrapText="1"/>
    </xf>
    <xf numFmtId="164" fontId="3" fillId="5" borderId="1" applyAlignment="1" pivotButton="0" quotePrefix="0" xfId="0">
      <alignment vertical="center" wrapText="1"/>
    </xf>
    <xf numFmtId="0" fontId="4" fillId="6" borderId="1" applyAlignment="1" pivotButton="0" quotePrefix="0" xfId="0">
      <alignment vertical="center"/>
    </xf>
    <xf numFmtId="164" fontId="4" fillId="6" borderId="1" applyAlignment="1" pivotButton="0" quotePrefix="0" xfId="0">
      <alignment vertical="center"/>
    </xf>
    <xf numFmtId="0" fontId="5" fillId="0" borderId="0" pivotButton="0" quotePrefix="0" xfId="0"/>
    <xf numFmtId="164" fontId="5" fillId="6" borderId="1" applyAlignment="1" pivotButton="0" quotePrefix="0" xfId="0">
      <alignment vertical="center"/>
    </xf>
    <xf numFmtId="0" fontId="0" fillId="0" borderId="1" pivotButton="0" quotePrefix="0" xfId="0"/>
    <xf numFmtId="0" fontId="5" fillId="0" borderId="1" pivotButton="0" quotePrefix="0" xfId="0"/>
    <xf numFmtId="164" fontId="0" fillId="0" borderId="1" pivotButton="0" quotePrefix="0" xfId="0"/>
    <xf numFmtId="164" fontId="5" fillId="0" borderId="1" pivotButton="0" quotePrefix="0" xfId="0"/>
    <xf numFmtId="165" fontId="3" fillId="5" borderId="1" applyAlignment="1" pivotButton="0" quotePrefix="0" xfId="0">
      <alignment vertical="center" wrapText="1"/>
    </xf>
    <xf numFmtId="0" fontId="5" fillId="3" borderId="1" pivotButton="0" quotePrefix="0" xfId="0"/>
    <xf numFmtId="166" fontId="3" fillId="5" borderId="1" applyAlignment="1" pivotButton="0" quotePrefix="0" xfId="0">
      <alignment vertical="center" wrapText="1"/>
    </xf>
    <xf numFmtId="0" fontId="8" fillId="8" borderId="8" applyAlignment="1" pivotButton="0" quotePrefix="0" xfId="0">
      <alignment vertical="top" wrapText="1"/>
    </xf>
    <xf numFmtId="0" fontId="7" fillId="8" borderId="8" applyAlignment="1" pivotButton="0" quotePrefix="0" xfId="0">
      <alignment vertical="top" wrapText="1"/>
    </xf>
    <xf numFmtId="0" fontId="8" fillId="9" borderId="8" applyAlignment="1" pivotButton="0" quotePrefix="0" xfId="0">
      <alignment vertical="top" wrapText="1"/>
    </xf>
    <xf numFmtId="0" fontId="7" fillId="9" borderId="8" applyAlignment="1" pivotButton="0" quotePrefix="0" xfId="0">
      <alignment vertical="top" wrapText="1"/>
    </xf>
    <xf numFmtId="0" fontId="8" fillId="10" borderId="8" applyAlignment="1" pivotButton="0" quotePrefix="0" xfId="0">
      <alignment vertical="top" wrapText="1"/>
    </xf>
    <xf numFmtId="0" fontId="7" fillId="10" borderId="8" applyAlignment="1" pivotButton="0" quotePrefix="0" xfId="0">
      <alignment vertical="top" wrapText="1"/>
    </xf>
    <xf numFmtId="0" fontId="8" fillId="11" borderId="8" applyAlignment="1" pivotButton="0" quotePrefix="0" xfId="0">
      <alignment vertical="top" wrapText="1"/>
    </xf>
    <xf numFmtId="0" fontId="7" fillId="11" borderId="8" applyAlignment="1" pivotButton="0" quotePrefix="0" xfId="0">
      <alignment vertical="top" wrapText="1"/>
    </xf>
    <xf numFmtId="0" fontId="5" fillId="3" borderId="1" applyAlignment="1" pivotButton="0" quotePrefix="0" xfId="0">
      <alignment wrapText="1"/>
    </xf>
    <xf numFmtId="0" fontId="5" fillId="6" borderId="1" applyAlignment="1" pivotButton="0" quotePrefix="0" xfId="0">
      <alignment vertical="center"/>
    </xf>
    <xf numFmtId="166" fontId="5" fillId="6" borderId="1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164" fontId="5" fillId="7" borderId="2" applyAlignment="1" pivotButton="0" quotePrefix="0" xfId="0">
      <alignment horizontal="center" vertical="center"/>
    </xf>
    <xf numFmtId="164" fontId="5" fillId="7" borderId="3" applyAlignment="1" pivotButton="0" quotePrefix="0" xfId="0">
      <alignment horizontal="center" vertical="center"/>
    </xf>
    <xf numFmtId="164" fontId="5" fillId="7" borderId="4" applyAlignment="1" pivotButton="0" quotePrefix="0" xfId="0">
      <alignment horizontal="center" vertical="center"/>
    </xf>
    <xf numFmtId="164" fontId="5" fillId="7" borderId="5" applyAlignment="1" pivotButton="0" quotePrefix="0" xfId="0">
      <alignment horizontal="center" vertical="center"/>
    </xf>
    <xf numFmtId="164" fontId="5" fillId="7" borderId="6" applyAlignment="1" pivotButton="0" quotePrefix="0" xfId="0">
      <alignment horizontal="center" vertical="center"/>
    </xf>
    <xf numFmtId="164" fontId="5" fillId="7" borderId="7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  <xf numFmtId="0" fontId="1" fillId="4" borderId="0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 wrapText="1"/>
    </xf>
    <xf numFmtId="0" fontId="7" fillId="0" borderId="0" applyAlignment="1" pivotButton="0" quotePrefix="0" xfId="0">
      <alignment vertical="center"/>
    </xf>
    <xf numFmtId="0" fontId="0" fillId="0" borderId="11" pivotButton="0" quotePrefix="0" xfId="0"/>
    <xf numFmtId="0" fontId="0" fillId="0" borderId="12" pivotButton="0" quotePrefix="0" xfId="0"/>
    <xf numFmtId="164" fontId="5" fillId="7" borderId="13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</cellXfs>
  <cellStyles count="1">
    <cellStyle name="Normal" xfId="0" builtinId="0"/>
  </cellStyles>
  <dxfs count="4">
    <dxf>
      <font>
        <b val="1"/>
        <color rgb="FF215E21"/>
      </font>
      <fill>
        <patternFill patternType="solid">
          <bgColor rgb="FFE2F0D9"/>
        </patternFill>
      </fill>
    </dxf>
    <dxf>
      <font>
        <color rgb="FF9C0006"/>
      </font>
      <fill>
        <patternFill patternType="solid">
          <bgColor rgb="FFF4CCCC"/>
        </patternFill>
      </fill>
    </dxf>
    <dxf>
      <font>
        <b val="1"/>
        <color rgb="FF9C0006"/>
      </font>
      <fill>
        <patternFill patternType="solid">
          <bgColor rgb="FFF4CCCC"/>
        </patternFill>
      </fill>
    </dxf>
    <dxf>
      <font>
        <b val="1"/>
        <color rgb="FF215E21"/>
      </font>
      <fill>
        <patternFill patternType="solid">
          <bgColor rgb="FFE2F0D9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Monthly written target by stream (£)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Mortgage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Summary'!$B$25:$B$36</f>
              <numCache>
                <formatCode>"£"#,##0</formatCode>
                <ptCount val="12"/>
                <pt idx="0">
                  <v>1035000</v>
                </pt>
                <pt idx="1">
                  <v>1035000</v>
                </pt>
                <pt idx="2">
                  <v>1035000</v>
                </pt>
                <pt idx="3">
                  <v>1035000</v>
                </pt>
                <pt idx="4">
                  <v>1035000</v>
                </pt>
                <pt idx="5">
                  <v>1035000</v>
                </pt>
                <pt idx="6">
                  <v>1035000</v>
                </pt>
                <pt idx="7">
                  <v>1035000</v>
                </pt>
                <pt idx="8">
                  <v>1035000</v>
                </pt>
                <pt idx="9">
                  <v>1035000</v>
                </pt>
                <pt idx="10">
                  <v>1035000</v>
                </pt>
                <pt idx="11">
                  <v>1035000</v>
                </pt>
              </numCache>
            </numRef>
          </val>
        </ser>
        <ser>
          <idx val="1"/>
          <order val="1"/>
          <tx>
            <v>Protection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Summary'!$C$25:$C$36</f>
              <numCache>
                <formatCode>"£"#,##0</formatCode>
                <ptCount val="12"/>
                <pt idx="0">
                  <v>240000</v>
                </pt>
                <pt idx="1">
                  <v>240000</v>
                </pt>
                <pt idx="2">
                  <v>240000</v>
                </pt>
                <pt idx="3">
                  <v>240000</v>
                </pt>
                <pt idx="4">
                  <v>240000</v>
                </pt>
                <pt idx="5">
                  <v>240000</v>
                </pt>
                <pt idx="6">
                  <v>240000</v>
                </pt>
                <pt idx="7">
                  <v>240000</v>
                </pt>
                <pt idx="8">
                  <v>240000</v>
                </pt>
                <pt idx="9">
                  <v>240000</v>
                </pt>
                <pt idx="10">
                  <v>240000</v>
                </pt>
                <pt idx="11">
                  <v>240000</v>
                </pt>
              </numCache>
            </numRef>
          </val>
        </ser>
        <ser>
          <idx val="2"/>
          <order val="2"/>
          <tx>
            <v>Other Income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Summary'!$D$25:$D$36</f>
              <numCache>
                <formatCode>"£"#,##0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&quot;£&quot;#,##0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7</row>
      <rowOff>0</rowOff>
    </from>
    <to>
      <col>14</col>
      <colOff>0</colOff>
      <row>22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7"/>
  <sheetViews>
    <sheetView showGridLines="0" workbookViewId="0">
      <selection activeCell="A20" sqref="A20"/>
    </sheetView>
  </sheetViews>
  <sheetFormatPr baseColWidth="8" defaultRowHeight="14"/>
  <cols>
    <col width="29" customWidth="1" min="1" max="1"/>
    <col width="24" customWidth="1" min="2" max="6"/>
    <col width="25" customWidth="1" min="7" max="7"/>
    <col width="30" customWidth="1" min="8" max="8"/>
  </cols>
  <sheetData>
    <row r="1" ht="25" customHeight="1">
      <c r="A1" s="26" t="inlineStr">
        <is>
          <t>Business Overview</t>
        </is>
      </c>
    </row>
    <row r="2" ht="25" customHeight="1"/>
    <row r="3" ht="28" customHeight="1">
      <c r="A3" s="27" t="inlineStr">
        <is>
          <t>Firm, regulatory, team, organisation and lead-source information in one place.</t>
        </is>
      </c>
    </row>
    <row r="5">
      <c r="A5" s="35" t="inlineStr">
        <is>
          <t>Firm and Regulatory Information</t>
        </is>
      </c>
    </row>
    <row r="6">
      <c r="A6" s="13" t="inlineStr">
        <is>
          <t>Firm name</t>
        </is>
      </c>
      <c r="B6" s="36" t="inlineStr">
        <is>
          <t>Duncan &amp; Co Financial</t>
        </is>
      </c>
      <c r="C6" s="40" t="n"/>
      <c r="D6" s="40" t="n"/>
      <c r="E6" s="40" t="n"/>
      <c r="F6" s="40" t="n"/>
      <c r="G6" s="40" t="n"/>
      <c r="H6" s="41" t="n"/>
    </row>
    <row r="7">
      <c r="A7" s="13" t="inlineStr">
        <is>
          <t>Previous firm / network</t>
        </is>
      </c>
      <c r="B7" s="36" t="n"/>
      <c r="C7" s="40" t="n"/>
      <c r="D7" s="40" t="n"/>
      <c r="E7" s="40" t="n"/>
      <c r="F7" s="40" t="n"/>
      <c r="G7" s="40" t="n"/>
      <c r="H7" s="41" t="n"/>
    </row>
    <row r="8">
      <c r="A8" s="13" t="inlineStr">
        <is>
          <t>Business address</t>
        </is>
      </c>
      <c r="B8" s="36" t="n"/>
      <c r="C8" s="40" t="n"/>
      <c r="D8" s="40" t="n"/>
      <c r="E8" s="40" t="n"/>
      <c r="F8" s="40" t="n"/>
      <c r="G8" s="40" t="n"/>
      <c r="H8" s="41" t="n"/>
    </row>
    <row r="9">
      <c r="A9" s="13" t="inlineStr">
        <is>
          <t>FCA number</t>
        </is>
      </c>
      <c r="B9" s="36" t="n"/>
      <c r="C9" s="40" t="n"/>
      <c r="D9" s="40" t="n"/>
      <c r="E9" s="40" t="n"/>
      <c r="F9" s="40" t="n"/>
      <c r="G9" s="40" t="n"/>
      <c r="H9" s="41" t="n"/>
    </row>
    <row r="10">
      <c r="A10" s="13" t="inlineStr">
        <is>
          <t>MAB FCA number</t>
        </is>
      </c>
      <c r="B10" s="36" t="n"/>
      <c r="C10" s="40" t="n"/>
      <c r="D10" s="40" t="n"/>
      <c r="E10" s="40" t="n"/>
      <c r="F10" s="40" t="n"/>
      <c r="G10" s="40" t="n"/>
      <c r="H10" s="41" t="n"/>
    </row>
    <row r="11">
      <c r="A11" s="13" t="inlineStr">
        <is>
          <t>L&amp;G master agency number</t>
        </is>
      </c>
      <c r="B11" s="36" t="n"/>
      <c r="C11" s="40" t="n"/>
      <c r="D11" s="40" t="n"/>
      <c r="E11" s="40" t="n"/>
      <c r="F11" s="40" t="n"/>
      <c r="G11" s="40" t="n"/>
      <c r="H11" s="41" t="n"/>
    </row>
    <row r="12">
      <c r="A12" s="13" t="inlineStr">
        <is>
          <t>MAB agency number</t>
        </is>
      </c>
      <c r="B12" s="36" t="n"/>
      <c r="C12" s="40" t="n"/>
      <c r="D12" s="40" t="n"/>
      <c r="E12" s="40" t="n"/>
      <c r="F12" s="40" t="n"/>
      <c r="G12" s="40" t="n"/>
      <c r="H12" s="41" t="n"/>
    </row>
    <row r="13">
      <c r="A13" s="13" t="inlineStr">
        <is>
          <t>Pipeline novated?</t>
        </is>
      </c>
      <c r="B13" s="36" t="n"/>
      <c r="C13" s="40" t="n"/>
      <c r="D13" s="40" t="n"/>
      <c r="E13" s="40" t="n"/>
      <c r="F13" s="40" t="n"/>
      <c r="G13" s="40" t="n"/>
      <c r="H13" s="41" t="n"/>
    </row>
    <row r="14">
      <c r="A14" s="13" t="inlineStr">
        <is>
          <t>Fee structure</t>
        </is>
      </c>
      <c r="B14" s="36" t="n"/>
      <c r="C14" s="40" t="n"/>
      <c r="D14" s="40" t="n"/>
      <c r="E14" s="40" t="n"/>
      <c r="F14" s="40" t="n"/>
      <c r="G14" s="40" t="n"/>
      <c r="H14" s="41" t="n"/>
    </row>
    <row r="15">
      <c r="A15" s="13" t="inlineStr">
        <is>
          <t>Specialist licences required</t>
        </is>
      </c>
      <c r="B15" s="36" t="n"/>
      <c r="C15" s="40" t="n"/>
      <c r="D15" s="40" t="n"/>
      <c r="E15" s="40" t="n"/>
      <c r="F15" s="40" t="n"/>
      <c r="G15" s="40" t="n"/>
      <c r="H15" s="41" t="n"/>
    </row>
    <row r="18">
      <c r="A18" s="35" t="inlineStr">
        <is>
          <t>Team and Organisation</t>
        </is>
      </c>
    </row>
    <row r="19">
      <c r="A19" s="37" t="inlineStr">
        <is>
          <t>Name</t>
        </is>
      </c>
      <c r="B19" s="37" t="inlineStr">
        <is>
          <t>Role</t>
        </is>
      </c>
      <c r="C19" s="37" t="inlineStr">
        <is>
          <t>Director / Key Individual</t>
        </is>
      </c>
      <c r="D19" s="37" t="inlineStr">
        <is>
          <t>Employed / SE</t>
        </is>
      </c>
      <c r="E19" s="37" t="inlineStr">
        <is>
          <t>Location</t>
        </is>
      </c>
      <c r="F19" s="37" t="inlineStr">
        <is>
          <t>Licences</t>
        </is>
      </c>
      <c r="G19" s="37" t="inlineStr">
        <is>
          <t>Admin / Case Manager</t>
        </is>
      </c>
      <c r="H19" s="37" t="inlineStr">
        <is>
          <t>GI Specialist</t>
        </is>
      </c>
    </row>
    <row r="20">
      <c r="A20" s="36" t="n"/>
      <c r="B20" s="36" t="n"/>
      <c r="C20" s="36" t="n"/>
      <c r="D20" s="36" t="n"/>
      <c r="E20" s="36" t="n"/>
      <c r="F20" s="36" t="n"/>
      <c r="G20" s="36" t="n"/>
      <c r="H20" s="36" t="n"/>
    </row>
    <row r="21">
      <c r="A21" s="36" t="n"/>
      <c r="B21" s="36" t="n"/>
      <c r="C21" s="36" t="n"/>
      <c r="D21" s="36" t="n"/>
      <c r="E21" s="36" t="n"/>
      <c r="F21" s="36" t="n"/>
      <c r="G21" s="36" t="n"/>
      <c r="H21" s="36" t="n"/>
    </row>
    <row r="22">
      <c r="A22" s="36" t="n"/>
      <c r="B22" s="36" t="n"/>
      <c r="C22" s="36" t="n"/>
      <c r="D22" s="36" t="n"/>
      <c r="E22" s="36" t="n"/>
      <c r="F22" s="36" t="n"/>
      <c r="G22" s="36" t="n"/>
      <c r="H22" s="36" t="n"/>
    </row>
    <row r="23">
      <c r="A23" s="36" t="n"/>
      <c r="B23" s="36" t="n"/>
      <c r="C23" s="36" t="n"/>
      <c r="D23" s="36" t="n"/>
      <c r="E23" s="36" t="n"/>
      <c r="F23" s="36" t="n"/>
      <c r="G23" s="36" t="n"/>
      <c r="H23" s="36" t="n"/>
    </row>
    <row r="24">
      <c r="A24" s="36" t="n"/>
      <c r="B24" s="36" t="n"/>
      <c r="C24" s="36" t="n"/>
      <c r="D24" s="36" t="n"/>
      <c r="E24" s="36" t="n"/>
      <c r="F24" s="36" t="n"/>
      <c r="G24" s="36" t="n"/>
      <c r="H24" s="36" t="n"/>
    </row>
    <row r="25">
      <c r="A25" s="36" t="n"/>
      <c r="B25" s="36" t="n"/>
      <c r="C25" s="36" t="n"/>
      <c r="D25" s="36" t="n"/>
      <c r="E25" s="36" t="n"/>
      <c r="F25" s="36" t="n"/>
      <c r="G25" s="36" t="n"/>
      <c r="H25" s="36" t="n"/>
    </row>
    <row r="26">
      <c r="A26" s="36" t="n"/>
      <c r="B26" s="36" t="n"/>
      <c r="C26" s="36" t="n"/>
      <c r="D26" s="36" t="n"/>
      <c r="E26" s="36" t="n"/>
      <c r="F26" s="36" t="n"/>
      <c r="G26" s="36" t="n"/>
      <c r="H26" s="36" t="n"/>
    </row>
    <row r="27">
      <c r="A27" s="36" t="n"/>
      <c r="B27" s="36" t="n"/>
      <c r="C27" s="36" t="n"/>
      <c r="D27" s="36" t="n"/>
      <c r="E27" s="36" t="n"/>
      <c r="F27" s="36" t="n"/>
      <c r="G27" s="36" t="n"/>
      <c r="H27" s="36" t="n"/>
    </row>
    <row r="28">
      <c r="A28" s="36" t="n"/>
      <c r="B28" s="36" t="n"/>
      <c r="C28" s="36" t="n"/>
      <c r="D28" s="36" t="n"/>
      <c r="E28" s="36" t="n"/>
      <c r="F28" s="36" t="n"/>
      <c r="G28" s="36" t="n"/>
      <c r="H28" s="36" t="n"/>
    </row>
    <row r="29">
      <c r="A29" s="36" t="n"/>
      <c r="B29" s="36" t="n"/>
      <c r="C29" s="36" t="n"/>
      <c r="D29" s="36" t="n"/>
      <c r="E29" s="36" t="n"/>
      <c r="F29" s="36" t="n"/>
      <c r="G29" s="36" t="n"/>
      <c r="H29" s="36" t="n"/>
    </row>
    <row r="30">
      <c r="A30" s="36" t="n"/>
      <c r="B30" s="36" t="n"/>
      <c r="C30" s="36" t="n"/>
      <c r="D30" s="36" t="n"/>
      <c r="E30" s="36" t="n"/>
      <c r="F30" s="36" t="n"/>
      <c r="G30" s="36" t="n"/>
      <c r="H30" s="36" t="n"/>
    </row>
    <row r="31">
      <c r="A31" s="36" t="n"/>
      <c r="B31" s="36" t="n"/>
      <c r="C31" s="36" t="n"/>
      <c r="D31" s="36" t="n"/>
      <c r="E31" s="36" t="n"/>
      <c r="F31" s="36" t="n"/>
      <c r="G31" s="36" t="n"/>
      <c r="H31" s="36" t="n"/>
    </row>
    <row r="34">
      <c r="A34" s="35" t="inlineStr">
        <is>
          <t>Lead Sources</t>
        </is>
      </c>
    </row>
    <row r="35">
      <c r="A35" s="37" t="inlineStr">
        <is>
          <t>Lead Source</t>
        </is>
      </c>
      <c r="B35" s="37" t="inlineStr">
        <is>
          <t>Transfer Method</t>
        </is>
      </c>
      <c r="C35" s="37" t="inlineStr">
        <is>
          <t>Introducer Type</t>
        </is>
      </c>
      <c r="D35" s="37" t="inlineStr">
        <is>
          <t>Monthly Volume</t>
        </is>
      </c>
      <c r="E35" s="37" t="inlineStr">
        <is>
          <t>Close Rate</t>
        </is>
      </c>
      <c r="F35" s="37" t="inlineStr">
        <is>
          <t>Owner / Notes</t>
        </is>
      </c>
    </row>
    <row r="36">
      <c r="A36" s="36" t="n"/>
      <c r="B36" s="36" t="n"/>
      <c r="C36" s="36" t="n"/>
      <c r="D36" s="36" t="n"/>
      <c r="E36" s="14" t="n"/>
      <c r="F36" s="36" t="n"/>
    </row>
    <row r="37">
      <c r="A37" s="36" t="n"/>
      <c r="B37" s="36" t="n"/>
      <c r="C37" s="36" t="n"/>
      <c r="D37" s="36" t="n"/>
      <c r="E37" s="14" t="n"/>
      <c r="F37" s="36" t="n"/>
    </row>
    <row r="38">
      <c r="A38" s="36" t="n"/>
      <c r="B38" s="36" t="n"/>
      <c r="C38" s="36" t="n"/>
      <c r="D38" s="36" t="n"/>
      <c r="E38" s="14" t="n"/>
      <c r="F38" s="36" t="n"/>
    </row>
    <row r="39">
      <c r="A39" s="36" t="n"/>
      <c r="B39" s="36" t="n"/>
      <c r="C39" s="36" t="n"/>
      <c r="D39" s="36" t="n"/>
      <c r="E39" s="14" t="n"/>
      <c r="F39" s="36" t="n"/>
    </row>
    <row r="40">
      <c r="A40" s="36" t="n"/>
      <c r="B40" s="36" t="n"/>
      <c r="C40" s="36" t="n"/>
      <c r="D40" s="36" t="n"/>
      <c r="E40" s="14" t="n"/>
      <c r="F40" s="36" t="n"/>
    </row>
    <row r="41">
      <c r="A41" s="36" t="n"/>
      <c r="B41" s="36" t="n"/>
      <c r="C41" s="36" t="n"/>
      <c r="D41" s="36" t="n"/>
      <c r="E41" s="14" t="n"/>
      <c r="F41" s="36" t="n"/>
    </row>
    <row r="42">
      <c r="A42" s="36" t="n"/>
      <c r="B42" s="36" t="n"/>
      <c r="C42" s="36" t="n"/>
      <c r="D42" s="36" t="n"/>
      <c r="E42" s="14" t="n"/>
      <c r="F42" s="36" t="n"/>
    </row>
    <row r="43">
      <c r="A43" s="36" t="n"/>
      <c r="B43" s="36" t="n"/>
      <c r="C43" s="36" t="n"/>
      <c r="D43" s="36" t="n"/>
      <c r="E43" s="14" t="n"/>
      <c r="F43" s="36" t="n"/>
    </row>
    <row r="44">
      <c r="A44" s="36" t="n"/>
      <c r="B44" s="36" t="n"/>
      <c r="C44" s="36" t="n"/>
      <c r="D44" s="36" t="n"/>
      <c r="E44" s="14" t="n"/>
      <c r="F44" s="36" t="n"/>
    </row>
    <row r="45">
      <c r="A45" s="36" t="n"/>
      <c r="B45" s="36" t="n"/>
      <c r="C45" s="36" t="n"/>
      <c r="D45" s="36" t="n"/>
      <c r="E45" s="14" t="n"/>
      <c r="F45" s="36" t="n"/>
    </row>
    <row r="46">
      <c r="A46" s="36" t="n"/>
      <c r="B46" s="36" t="n"/>
      <c r="C46" s="36" t="n"/>
      <c r="D46" s="36" t="n"/>
      <c r="E46" s="14" t="n"/>
      <c r="F46" s="36" t="n"/>
    </row>
    <row r="47">
      <c r="A47" s="36" t="n"/>
      <c r="B47" s="36" t="n"/>
      <c r="C47" s="36" t="n"/>
      <c r="D47" s="36" t="n"/>
      <c r="E47" s="14" t="n"/>
      <c r="F47" s="36" t="n"/>
    </row>
  </sheetData>
  <mergeCells count="15">
    <mergeCell ref="A18:H18"/>
    <mergeCell ref="B8:H8"/>
    <mergeCell ref="B14:H14"/>
    <mergeCell ref="A3:H3"/>
    <mergeCell ref="B9:H9"/>
    <mergeCell ref="B13:H13"/>
    <mergeCell ref="B12:H12"/>
    <mergeCell ref="B6:H6"/>
    <mergeCell ref="A34:F34"/>
    <mergeCell ref="B15:H15"/>
    <mergeCell ref="B10:H10"/>
    <mergeCell ref="A5:H5"/>
    <mergeCell ref="B11:H11"/>
    <mergeCell ref="B7:H7"/>
    <mergeCell ref="A1:H2"/>
  </mergeCells>
  <dataValidations count="1">
    <dataValidation sqref="D20:D31" showDropDown="0" showInputMessage="0" showErrorMessage="0" allowBlank="0" type="list">
      <formula1>"Employed,Self-employed,N/A"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topLeftCell="A3" workbookViewId="0">
      <selection activeCell="G33" sqref="G33"/>
    </sheetView>
  </sheetViews>
  <sheetFormatPr baseColWidth="8" defaultRowHeight="14"/>
  <cols>
    <col width="20" customWidth="1" min="1" max="1"/>
    <col width="16" customWidth="1" min="2" max="7"/>
    <col width="3" customWidth="1" min="8" max="8"/>
    <col width="16" customWidth="1" min="9" max="11"/>
    <col width="3" customWidth="1" min="12" max="12"/>
    <col width="16" customWidth="1" min="13" max="14"/>
  </cols>
  <sheetData>
    <row r="1" ht="25" customHeight="1">
      <c r="A1" s="26" t="inlineStr">
        <is>
          <t>2027 Strategic Business Plan</t>
        </is>
      </c>
    </row>
    <row r="2" ht="25" customHeight="1"/>
    <row r="3" ht="28" customHeight="1">
      <c r="A3" s="27" t="inlineStr">
        <is>
          <t>A compact executive view of targets, priorities and delivery status.</t>
        </is>
      </c>
    </row>
    <row r="4">
      <c r="A4" s="42">
        <f>'Financial Plan'!P16</f>
        <v/>
      </c>
      <c r="B4" s="43" t="n"/>
      <c r="C4" s="44" t="n"/>
      <c r="E4" s="42">
        <f>AVERAGE('Financial Plan'!D16:O16)</f>
        <v/>
      </c>
      <c r="F4" s="43" t="n"/>
      <c r="G4" s="44" t="n"/>
      <c r="I4" s="42">
        <f>SUM('Financial Plan'!P13:P14)</f>
        <v/>
      </c>
      <c r="J4" s="43" t="n"/>
      <c r="K4" s="44" t="n"/>
      <c r="M4" s="42">
        <f>'Financial Plan'!P15</f>
        <v/>
      </c>
      <c r="N4" s="44" t="n"/>
    </row>
    <row r="5">
      <c r="A5" s="45" t="n"/>
      <c r="B5" s="46" t="n"/>
      <c r="C5" s="47" t="n"/>
      <c r="E5" s="45" t="n"/>
      <c r="F5" s="46" t="n"/>
      <c r="G5" s="47" t="n"/>
      <c r="I5" s="45" t="n"/>
      <c r="J5" s="46" t="n"/>
      <c r="K5" s="47" t="n"/>
      <c r="M5" s="45" t="n"/>
      <c r="N5" s="47" t="n"/>
    </row>
    <row r="6">
      <c r="A6" s="34" t="inlineStr">
        <is>
          <t>Annual written target</t>
        </is>
      </c>
      <c r="E6" s="34" t="inlineStr">
        <is>
          <t>Average monthly target</t>
        </is>
      </c>
      <c r="I6" s="34" t="inlineStr">
        <is>
          <t>Mortgage &amp; Protection annual target</t>
        </is>
      </c>
      <c r="M6" s="34" t="inlineStr">
        <is>
          <t>Other Income annual target</t>
        </is>
      </c>
    </row>
    <row r="8">
      <c r="A8" s="35" t="inlineStr">
        <is>
          <t>Quarterly written target</t>
        </is>
      </c>
    </row>
    <row r="9">
      <c r="A9" s="37" t="inlineStr">
        <is>
          <t>Metric</t>
        </is>
      </c>
      <c r="B9" s="37" t="inlineStr">
        <is>
          <t>Q1</t>
        </is>
      </c>
      <c r="C9" s="37" t="inlineStr">
        <is>
          <t>Q2</t>
        </is>
      </c>
      <c r="D9" s="37" t="inlineStr">
        <is>
          <t>Q3</t>
        </is>
      </c>
      <c r="E9" s="37" t="inlineStr">
        <is>
          <t>Q4</t>
        </is>
      </c>
      <c r="F9" s="37" t="inlineStr">
        <is>
          <t>Annual</t>
        </is>
      </c>
    </row>
    <row r="10">
      <c r="A10" s="8" t="inlineStr">
        <is>
          <t>Total</t>
        </is>
      </c>
      <c r="B10" s="10">
        <f>'Financial Plan'!B24</f>
        <v/>
      </c>
      <c r="C10" s="10">
        <f>'Financial Plan'!C24</f>
        <v/>
      </c>
      <c r="D10" s="10">
        <f>'Financial Plan'!D24</f>
        <v/>
      </c>
      <c r="E10" s="10">
        <f>'Financial Plan'!E24</f>
        <v/>
      </c>
      <c r="F10" s="10">
        <f>'Financial Plan'!F24</f>
        <v/>
      </c>
    </row>
    <row r="11">
      <c r="A11" s="8" t="inlineStr">
        <is>
          <t>Mortgage</t>
        </is>
      </c>
      <c r="B11" s="10">
        <f>'Financial Plan'!B21</f>
        <v/>
      </c>
      <c r="C11" s="10">
        <f>'Financial Plan'!C21</f>
        <v/>
      </c>
      <c r="D11" s="10">
        <f>'Financial Plan'!D21</f>
        <v/>
      </c>
      <c r="E11" s="10">
        <f>'Financial Plan'!E21</f>
        <v/>
      </c>
      <c r="F11" s="10">
        <f>'Financial Plan'!F21</f>
        <v/>
      </c>
    </row>
    <row r="12">
      <c r="A12" s="8" t="inlineStr">
        <is>
          <t>Protection</t>
        </is>
      </c>
      <c r="B12" s="10">
        <f>'Financial Plan'!B22</f>
        <v/>
      </c>
      <c r="C12" s="10">
        <f>'Financial Plan'!C22</f>
        <v/>
      </c>
      <c r="D12" s="10">
        <f>'Financial Plan'!D22</f>
        <v/>
      </c>
      <c r="E12" s="10">
        <f>'Financial Plan'!E22</f>
        <v/>
      </c>
      <c r="F12" s="10">
        <f>'Financial Plan'!F22</f>
        <v/>
      </c>
    </row>
    <row r="13">
      <c r="A13" s="8" t="inlineStr">
        <is>
          <t>Other Income</t>
        </is>
      </c>
      <c r="B13" s="10">
        <f>'Financial Plan'!B23</f>
        <v/>
      </c>
      <c r="C13" s="10">
        <f>'Financial Plan'!C23</f>
        <v/>
      </c>
      <c r="D13" s="10">
        <f>'Financial Plan'!D23</f>
        <v/>
      </c>
      <c r="E13" s="10">
        <f>'Financial Plan'!E23</f>
        <v/>
      </c>
      <c r="F13" s="10">
        <f>'Financial Plan'!F23</f>
        <v/>
      </c>
    </row>
    <row r="16">
      <c r="A16" s="35" t="inlineStr">
        <is>
          <t>Plan details</t>
        </is>
      </c>
    </row>
    <row r="17">
      <c r="A17" s="6" t="inlineStr">
        <is>
          <t>Firm name</t>
        </is>
      </c>
      <c r="B17" s="36" t="inlineStr">
        <is>
          <t>Duncan &amp; Co Financial</t>
        </is>
      </c>
    </row>
    <row r="18">
      <c r="A18" s="6" t="inlineStr">
        <is>
          <t>Plan owner</t>
        </is>
      </c>
      <c r="B18" s="36" t="n"/>
    </row>
    <row r="19">
      <c r="A19" s="6" t="inlineStr">
        <is>
          <t>Version date</t>
        </is>
      </c>
      <c r="B19" s="12" t="n">
        <v>46253</v>
      </c>
    </row>
    <row r="20">
      <c r="A20" s="6" t="inlineStr">
        <is>
          <t>Model status</t>
        </is>
      </c>
      <c r="B20" s="4">
        <f>'Risks &amp; Actions'!B6</f>
        <v/>
      </c>
    </row>
    <row r="24">
      <c r="A24" s="37" t="inlineStr">
        <is>
          <t>Month</t>
        </is>
      </c>
      <c r="B24" s="37" t="inlineStr">
        <is>
          <t>Mortgage</t>
        </is>
      </c>
      <c r="C24" s="37" t="inlineStr">
        <is>
          <t>Protection</t>
        </is>
      </c>
      <c r="D24" s="37" t="inlineStr">
        <is>
          <t>Other Income</t>
        </is>
      </c>
      <c r="E24" s="37" t="inlineStr">
        <is>
          <t>Total</t>
        </is>
      </c>
    </row>
    <row r="25">
      <c r="A25" s="8" t="inlineStr">
        <is>
          <t>Jan</t>
        </is>
      </c>
      <c r="B25" s="10">
        <f>'Financial Plan'!D13</f>
        <v/>
      </c>
      <c r="C25" s="10">
        <f>'Financial Plan'!D14</f>
        <v/>
      </c>
      <c r="D25" s="10">
        <f>'Financial Plan'!D15</f>
        <v/>
      </c>
      <c r="E25" s="10">
        <f>'Financial Plan'!D16</f>
        <v/>
      </c>
    </row>
    <row r="26">
      <c r="A26" s="8" t="inlineStr">
        <is>
          <t>Feb</t>
        </is>
      </c>
      <c r="B26" s="10">
        <f>'Financial Plan'!E13</f>
        <v/>
      </c>
      <c r="C26" s="10">
        <f>'Financial Plan'!E14</f>
        <v/>
      </c>
      <c r="D26" s="10">
        <f>'Financial Plan'!E15</f>
        <v/>
      </c>
      <c r="E26" s="10">
        <f>'Financial Plan'!E16</f>
        <v/>
      </c>
    </row>
    <row r="27">
      <c r="A27" s="8" t="inlineStr">
        <is>
          <t>Mar</t>
        </is>
      </c>
      <c r="B27" s="10">
        <f>'Financial Plan'!F13</f>
        <v/>
      </c>
      <c r="C27" s="10">
        <f>'Financial Plan'!F14</f>
        <v/>
      </c>
      <c r="D27" s="10">
        <f>'Financial Plan'!F15</f>
        <v/>
      </c>
      <c r="E27" s="10">
        <f>'Financial Plan'!F16</f>
        <v/>
      </c>
    </row>
    <row r="28">
      <c r="A28" s="8" t="inlineStr">
        <is>
          <t>Apr</t>
        </is>
      </c>
      <c r="B28" s="10">
        <f>'Financial Plan'!G13</f>
        <v/>
      </c>
      <c r="C28" s="10">
        <f>'Financial Plan'!G14</f>
        <v/>
      </c>
      <c r="D28" s="10">
        <f>'Financial Plan'!G15</f>
        <v/>
      </c>
      <c r="E28" s="10">
        <f>'Financial Plan'!G16</f>
        <v/>
      </c>
    </row>
    <row r="29">
      <c r="A29" s="8" t="inlineStr">
        <is>
          <t>May</t>
        </is>
      </c>
      <c r="B29" s="10">
        <f>'Financial Plan'!H13</f>
        <v/>
      </c>
      <c r="C29" s="10">
        <f>'Financial Plan'!H14</f>
        <v/>
      </c>
      <c r="D29" s="10">
        <f>'Financial Plan'!H15</f>
        <v/>
      </c>
      <c r="E29" s="10">
        <f>'Financial Plan'!H16</f>
        <v/>
      </c>
    </row>
    <row r="30">
      <c r="A30" s="8" t="inlineStr">
        <is>
          <t>Jun</t>
        </is>
      </c>
      <c r="B30" s="10">
        <f>'Financial Plan'!I13</f>
        <v/>
      </c>
      <c r="C30" s="10">
        <f>'Financial Plan'!I14</f>
        <v/>
      </c>
      <c r="D30" s="10">
        <f>'Financial Plan'!I15</f>
        <v/>
      </c>
      <c r="E30" s="10">
        <f>'Financial Plan'!I16</f>
        <v/>
      </c>
    </row>
    <row r="31">
      <c r="A31" s="8" t="inlineStr">
        <is>
          <t>Jul</t>
        </is>
      </c>
      <c r="B31" s="10">
        <f>'Financial Plan'!J13</f>
        <v/>
      </c>
      <c r="C31" s="10">
        <f>'Financial Plan'!J14</f>
        <v/>
      </c>
      <c r="D31" s="10">
        <f>'Financial Plan'!J15</f>
        <v/>
      </c>
      <c r="E31" s="10">
        <f>'Financial Plan'!J16</f>
        <v/>
      </c>
    </row>
    <row r="32">
      <c r="A32" s="8" t="inlineStr">
        <is>
          <t>Aug</t>
        </is>
      </c>
      <c r="B32" s="10">
        <f>'Financial Plan'!K13</f>
        <v/>
      </c>
      <c r="C32" s="10">
        <f>'Financial Plan'!K14</f>
        <v/>
      </c>
      <c r="D32" s="10">
        <f>'Financial Plan'!K15</f>
        <v/>
      </c>
      <c r="E32" s="10">
        <f>'Financial Plan'!K16</f>
        <v/>
      </c>
    </row>
    <row r="33">
      <c r="A33" s="8" t="inlineStr">
        <is>
          <t>Sep</t>
        </is>
      </c>
      <c r="B33" s="10">
        <f>'Financial Plan'!L13</f>
        <v/>
      </c>
      <c r="C33" s="10">
        <f>'Financial Plan'!L14</f>
        <v/>
      </c>
      <c r="D33" s="10">
        <f>'Financial Plan'!L15</f>
        <v/>
      </c>
      <c r="E33" s="10">
        <f>'Financial Plan'!L16</f>
        <v/>
      </c>
    </row>
    <row r="34">
      <c r="A34" s="8" t="inlineStr">
        <is>
          <t>Oct</t>
        </is>
      </c>
      <c r="B34" s="10">
        <f>'Financial Plan'!M13</f>
        <v/>
      </c>
      <c r="C34" s="10">
        <f>'Financial Plan'!M14</f>
        <v/>
      </c>
      <c r="D34" s="10">
        <f>'Financial Plan'!M15</f>
        <v/>
      </c>
      <c r="E34" s="10">
        <f>'Financial Plan'!M16</f>
        <v/>
      </c>
    </row>
    <row r="35">
      <c r="A35" s="8" t="inlineStr">
        <is>
          <t>Nov</t>
        </is>
      </c>
      <c r="B35" s="10">
        <f>'Financial Plan'!N13</f>
        <v/>
      </c>
      <c r="C35" s="10">
        <f>'Financial Plan'!N14</f>
        <v/>
      </c>
      <c r="D35" s="10">
        <f>'Financial Plan'!N15</f>
        <v/>
      </c>
      <c r="E35" s="10">
        <f>'Financial Plan'!N16</f>
        <v/>
      </c>
    </row>
    <row r="36">
      <c r="A36" s="8" t="inlineStr">
        <is>
          <t>Dec</t>
        </is>
      </c>
      <c r="B36" s="10">
        <f>'Financial Plan'!O13</f>
        <v/>
      </c>
      <c r="C36" s="10">
        <f>'Financial Plan'!O14</f>
        <v/>
      </c>
      <c r="D36" s="10">
        <f>'Financial Plan'!O15</f>
        <v/>
      </c>
      <c r="E36" s="10">
        <f>'Financial Plan'!O16</f>
        <v/>
      </c>
    </row>
  </sheetData>
  <mergeCells count="12">
    <mergeCell ref="A16:F16"/>
    <mergeCell ref="A1:N2"/>
    <mergeCell ref="A3:N3"/>
    <mergeCell ref="M6:N6"/>
    <mergeCell ref="A6:C6"/>
    <mergeCell ref="A8:F8"/>
    <mergeCell ref="A4:C5"/>
    <mergeCell ref="E4:G5"/>
    <mergeCell ref="I4:K5"/>
    <mergeCell ref="E6:G6"/>
    <mergeCell ref="M4:N5"/>
    <mergeCell ref="I6:K6"/>
  </mergeCells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4"/>
  <sheetViews>
    <sheetView showGridLines="0" workbookViewId="0">
      <selection activeCell="A1" sqref="A1:P2"/>
    </sheetView>
  </sheetViews>
  <sheetFormatPr baseColWidth="8" defaultRowHeight="14"/>
  <cols>
    <col width="20" customWidth="1" min="1" max="2"/>
    <col width="30" customWidth="1" min="3" max="3"/>
    <col width="12" customWidth="1" min="4" max="15"/>
    <col width="16" customWidth="1" min="16" max="16"/>
  </cols>
  <sheetData>
    <row r="1" ht="25" customHeight="1">
      <c r="A1" s="26" t="inlineStr">
        <is>
          <t>2027 Financial Plan</t>
        </is>
      </c>
    </row>
    <row r="2" ht="25" customHeight="1"/>
    <row r="3" ht="28" customHeight="1">
      <c r="A3" s="27" t="inlineStr">
        <is>
          <t>Three income streams only. Change yellow assumptions or overwrite yellow monthly cells for seasonality; totals update automatically.</t>
        </is>
      </c>
    </row>
    <row r="5">
      <c r="A5" s="35" t="inlineStr">
        <is>
          <t>Core assumptions</t>
        </is>
      </c>
    </row>
    <row r="6" ht="28" customHeight="1">
      <c r="A6" s="37" t="inlineStr">
        <is>
          <t>Income Stream</t>
        </is>
      </c>
      <c r="B6" s="37" t="inlineStr">
        <is>
          <t>Default Monthly Target</t>
        </is>
      </c>
      <c r="C6" s="37" t="inlineStr">
        <is>
          <t>Lag (months)</t>
        </is>
      </c>
      <c r="D6" s="37" t="inlineStr">
        <is>
          <t>Scope</t>
        </is>
      </c>
      <c r="E6" s="40" t="n"/>
      <c r="F6" s="41" t="n"/>
    </row>
    <row r="7">
      <c r="A7" t="inlineStr">
        <is>
          <t>Mortgage</t>
        </is>
      </c>
      <c r="B7" s="3" t="n">
        <v>1035000</v>
      </c>
      <c r="C7" s="36" t="n">
        <v>2</v>
      </c>
      <c r="D7" s="38" t="inlineStr">
        <is>
          <t>New Build and Retention combined</t>
        </is>
      </c>
      <c r="E7" s="40" t="n"/>
      <c r="F7" s="41" t="n"/>
    </row>
    <row r="8">
      <c r="A8" t="inlineStr">
        <is>
          <t>Protection</t>
        </is>
      </c>
      <c r="B8" s="3" t="n">
        <v>240000</v>
      </c>
      <c r="C8" s="36" t="n">
        <v>2</v>
      </c>
      <c r="D8" s="38" t="inlineStr">
        <is>
          <t>Protection income</t>
        </is>
      </c>
      <c r="E8" s="40" t="n"/>
      <c r="F8" s="41" t="n"/>
    </row>
    <row r="9">
      <c r="A9" t="inlineStr">
        <is>
          <t>Other Income</t>
        </is>
      </c>
      <c r="B9" s="3" t="n">
        <v>0</v>
      </c>
      <c r="C9" s="36" t="n">
        <v>0</v>
      </c>
      <c r="D9" s="38" t="inlineStr">
        <is>
          <t>Wealth, GI, Later Life, conveyancing, wills and other referrals</t>
        </is>
      </c>
      <c r="E9" s="40" t="n"/>
      <c r="F9" s="41" t="n"/>
    </row>
    <row r="11">
      <c r="A11" s="35" t="inlineStr">
        <is>
          <t>Monthly written targets</t>
        </is>
      </c>
    </row>
    <row r="12">
      <c r="A12" s="37" t="inlineStr">
        <is>
          <t>Income Stream</t>
        </is>
      </c>
      <c r="B12" s="37" t="inlineStr">
        <is>
          <t>Default Monthly</t>
        </is>
      </c>
      <c r="C12" s="37" t="inlineStr">
        <is>
          <t>Scope</t>
        </is>
      </c>
      <c r="D12" s="37" t="inlineStr">
        <is>
          <t>Jan</t>
        </is>
      </c>
      <c r="E12" s="37" t="inlineStr">
        <is>
          <t>Feb</t>
        </is>
      </c>
      <c r="F12" s="37" t="inlineStr">
        <is>
          <t>Mar</t>
        </is>
      </c>
      <c r="G12" s="37" t="inlineStr">
        <is>
          <t>Apr</t>
        </is>
      </c>
      <c r="H12" s="37" t="inlineStr">
        <is>
          <t>May</t>
        </is>
      </c>
      <c r="I12" s="37" t="inlineStr">
        <is>
          <t>Jun</t>
        </is>
      </c>
      <c r="J12" s="37" t="inlineStr">
        <is>
          <t>Jul</t>
        </is>
      </c>
      <c r="K12" s="37" t="inlineStr">
        <is>
          <t>Aug</t>
        </is>
      </c>
      <c r="L12" s="37" t="inlineStr">
        <is>
          <t>Sep</t>
        </is>
      </c>
      <c r="M12" s="37" t="inlineStr">
        <is>
          <t>Oct</t>
        </is>
      </c>
      <c r="N12" s="37" t="inlineStr">
        <is>
          <t>Nov</t>
        </is>
      </c>
      <c r="O12" s="37" t="inlineStr">
        <is>
          <t>Dec</t>
        </is>
      </c>
      <c r="P12" s="37" t="inlineStr">
        <is>
          <t>Annual</t>
        </is>
      </c>
    </row>
    <row r="13">
      <c r="A13" s="8" t="inlineStr">
        <is>
          <t>Mortgage</t>
        </is>
      </c>
      <c r="B13" s="5">
        <f>B7</f>
        <v/>
      </c>
      <c r="C13" s="10" t="inlineStr">
        <is>
          <t>New Build and Retention</t>
        </is>
      </c>
      <c r="D13" s="3">
        <f>$B7</f>
        <v/>
      </c>
      <c r="E13" s="3">
        <f>$B7</f>
        <v/>
      </c>
      <c r="F13" s="3">
        <f>$B7</f>
        <v/>
      </c>
      <c r="G13" s="3">
        <f>$B7</f>
        <v/>
      </c>
      <c r="H13" s="3">
        <f>$B7</f>
        <v/>
      </c>
      <c r="I13" s="3">
        <f>$B7</f>
        <v/>
      </c>
      <c r="J13" s="3">
        <f>$B7</f>
        <v/>
      </c>
      <c r="K13" s="3">
        <f>$B7</f>
        <v/>
      </c>
      <c r="L13" s="3">
        <f>$B7</f>
        <v/>
      </c>
      <c r="M13" s="3">
        <f>$B7</f>
        <v/>
      </c>
      <c r="N13" s="3">
        <f>$B7</f>
        <v/>
      </c>
      <c r="O13" s="3">
        <f>$B7</f>
        <v/>
      </c>
      <c r="P13" s="5">
        <f>SUM(D13:O13)</f>
        <v/>
      </c>
    </row>
    <row r="14">
      <c r="A14" s="8" t="inlineStr">
        <is>
          <t>Protection</t>
        </is>
      </c>
      <c r="B14" s="5">
        <f>B8</f>
        <v/>
      </c>
      <c r="C14" s="10" t="inlineStr">
        <is>
          <t>Protection income</t>
        </is>
      </c>
      <c r="D14" s="3">
        <f>$B8</f>
        <v/>
      </c>
      <c r="E14" s="3">
        <f>$B8</f>
        <v/>
      </c>
      <c r="F14" s="3">
        <f>$B8</f>
        <v/>
      </c>
      <c r="G14" s="3">
        <f>$B8</f>
        <v/>
      </c>
      <c r="H14" s="3">
        <f>$B8</f>
        <v/>
      </c>
      <c r="I14" s="3">
        <f>$B8</f>
        <v/>
      </c>
      <c r="J14" s="3">
        <f>$B8</f>
        <v/>
      </c>
      <c r="K14" s="3">
        <f>$B8</f>
        <v/>
      </c>
      <c r="L14" s="3">
        <f>$B8</f>
        <v/>
      </c>
      <c r="M14" s="3">
        <f>$B8</f>
        <v/>
      </c>
      <c r="N14" s="3">
        <f>$B8</f>
        <v/>
      </c>
      <c r="O14" s="3">
        <f>$B8</f>
        <v/>
      </c>
      <c r="P14" s="5">
        <f>SUM(D14:O14)</f>
        <v/>
      </c>
    </row>
    <row r="15">
      <c r="A15" s="8" t="inlineStr">
        <is>
          <t>Other Income</t>
        </is>
      </c>
      <c r="B15" s="5">
        <f>B9</f>
        <v/>
      </c>
      <c r="C15" s="10" t="inlineStr">
        <is>
          <t>Wealth, GI, Later Life and referrals</t>
        </is>
      </c>
      <c r="D15" s="3">
        <f>$B9</f>
        <v/>
      </c>
      <c r="E15" s="3">
        <f>$B9</f>
        <v/>
      </c>
      <c r="F15" s="3">
        <f>$B9</f>
        <v/>
      </c>
      <c r="G15" s="3">
        <f>$B9</f>
        <v/>
      </c>
      <c r="H15" s="3">
        <f>$B9</f>
        <v/>
      </c>
      <c r="I15" s="3">
        <f>$B9</f>
        <v/>
      </c>
      <c r="J15" s="3">
        <f>$B9</f>
        <v/>
      </c>
      <c r="K15" s="3">
        <f>$B9</f>
        <v/>
      </c>
      <c r="L15" s="3">
        <f>$B9</f>
        <v/>
      </c>
      <c r="M15" s="3">
        <f>$B9</f>
        <v/>
      </c>
      <c r="N15" s="3">
        <f>$B9</f>
        <v/>
      </c>
      <c r="O15" s="3">
        <f>$B9</f>
        <v/>
      </c>
      <c r="P15" s="5">
        <f>SUM(D15:O15)</f>
        <v/>
      </c>
    </row>
    <row r="16">
      <c r="A16" s="9" t="inlineStr">
        <is>
          <t>TOTAL</t>
        </is>
      </c>
      <c r="B16" s="11" t="n"/>
      <c r="C16" s="11" t="inlineStr">
        <is>
          <t>All income streams</t>
        </is>
      </c>
      <c r="D16" s="7">
        <f>SUM(D13:D15)</f>
        <v/>
      </c>
      <c r="E16" s="7">
        <f>SUM(E13:E15)</f>
        <v/>
      </c>
      <c r="F16" s="7">
        <f>SUM(F13:F15)</f>
        <v/>
      </c>
      <c r="G16" s="7">
        <f>SUM(G13:G15)</f>
        <v/>
      </c>
      <c r="H16" s="7">
        <f>SUM(H13:H15)</f>
        <v/>
      </c>
      <c r="I16" s="7">
        <f>SUM(I13:I15)</f>
        <v/>
      </c>
      <c r="J16" s="7">
        <f>SUM(J13:J15)</f>
        <v/>
      </c>
      <c r="K16" s="7">
        <f>SUM(K13:K15)</f>
        <v/>
      </c>
      <c r="L16" s="7">
        <f>SUM(L13:L15)</f>
        <v/>
      </c>
      <c r="M16" s="7">
        <f>SUM(M13:M15)</f>
        <v/>
      </c>
      <c r="N16" s="7">
        <f>SUM(N13:N15)</f>
        <v/>
      </c>
      <c r="O16" s="7">
        <f>SUM(O13:O15)</f>
        <v/>
      </c>
      <c r="P16" s="7">
        <f>SUM(D16:O16)</f>
        <v/>
      </c>
    </row>
    <row r="19">
      <c r="A19" s="35" t="inlineStr">
        <is>
          <t>Quarterly roll-up</t>
        </is>
      </c>
    </row>
    <row r="20">
      <c r="A20" s="37" t="inlineStr">
        <is>
          <t>Stream</t>
        </is>
      </c>
      <c r="B20" s="37" t="inlineStr">
        <is>
          <t>Q1</t>
        </is>
      </c>
      <c r="C20" s="37" t="inlineStr">
        <is>
          <t>Q2</t>
        </is>
      </c>
      <c r="D20" s="37" t="inlineStr">
        <is>
          <t>Q3</t>
        </is>
      </c>
      <c r="E20" s="37" t="inlineStr">
        <is>
          <t>Q4</t>
        </is>
      </c>
      <c r="F20" s="37" t="inlineStr">
        <is>
          <t>Annual</t>
        </is>
      </c>
    </row>
    <row r="21">
      <c r="A21" s="8" t="inlineStr">
        <is>
          <t>Mortgage</t>
        </is>
      </c>
      <c r="B21" s="10">
        <f>SUM(D13:F13)</f>
        <v/>
      </c>
      <c r="C21" s="10">
        <f>SUM(G13:I13)</f>
        <v/>
      </c>
      <c r="D21" s="10">
        <f>SUM(J13:L13)</f>
        <v/>
      </c>
      <c r="E21" s="10">
        <f>SUM(M13:O13)</f>
        <v/>
      </c>
      <c r="F21" s="10">
        <f>P13</f>
        <v/>
      </c>
    </row>
    <row r="22">
      <c r="A22" s="8" t="inlineStr">
        <is>
          <t>Protection</t>
        </is>
      </c>
      <c r="B22" s="10">
        <f>SUM(D14:F14)</f>
        <v/>
      </c>
      <c r="C22" s="10">
        <f>SUM(G14:I14)</f>
        <v/>
      </c>
      <c r="D22" s="10">
        <f>SUM(J14:L14)</f>
        <v/>
      </c>
      <c r="E22" s="10">
        <f>SUM(M14:O14)</f>
        <v/>
      </c>
      <c r="F22" s="10">
        <f>P14</f>
        <v/>
      </c>
    </row>
    <row r="23">
      <c r="A23" s="8" t="inlineStr">
        <is>
          <t>Other Income</t>
        </is>
      </c>
      <c r="B23" s="10">
        <f>SUM(D15:F15)</f>
        <v/>
      </c>
      <c r="C23" s="10">
        <f>SUM(G15:I15)</f>
        <v/>
      </c>
      <c r="D23" s="10">
        <f>SUM(J15:L15)</f>
        <v/>
      </c>
      <c r="E23" s="10">
        <f>SUM(M15:O15)</f>
        <v/>
      </c>
      <c r="F23" s="10">
        <f>P15</f>
        <v/>
      </c>
    </row>
    <row r="24">
      <c r="A24" s="8" t="inlineStr">
        <is>
          <t>Total</t>
        </is>
      </c>
      <c r="B24" s="10">
        <f>SUM(D16:F16)</f>
        <v/>
      </c>
      <c r="C24" s="10">
        <f>SUM(G16:I16)</f>
        <v/>
      </c>
      <c r="D24" s="10">
        <f>SUM(J16:L16)</f>
        <v/>
      </c>
      <c r="E24" s="10">
        <f>SUM(M16:O16)</f>
        <v/>
      </c>
      <c r="F24" s="10">
        <f>P16</f>
        <v/>
      </c>
    </row>
  </sheetData>
  <mergeCells count="9">
    <mergeCell ref="A11:P11"/>
    <mergeCell ref="A19:F19"/>
    <mergeCell ref="A1:P2"/>
    <mergeCell ref="A5:F5"/>
    <mergeCell ref="D9:F9"/>
    <mergeCell ref="A3:P3"/>
    <mergeCell ref="D7:F7"/>
    <mergeCell ref="D8:F8"/>
    <mergeCell ref="D6:F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topLeftCell="A2" workbookViewId="0">
      <selection activeCell="A1" sqref="A1:E1"/>
    </sheetView>
  </sheetViews>
  <sheetFormatPr baseColWidth="8" defaultRowHeight="14"/>
  <cols>
    <col width="44" customWidth="1" min="1" max="1"/>
    <col width="4" customWidth="1" min="2" max="2"/>
    <col width="44" customWidth="1" min="3" max="3"/>
    <col width="4" customWidth="1" min="4" max="4"/>
    <col width="44" customWidth="1" min="5" max="5"/>
  </cols>
  <sheetData>
    <row r="1" ht="32" customHeight="1">
      <c r="A1" s="39" t="inlineStr">
        <is>
          <t>Quarterly Planner</t>
        </is>
      </c>
    </row>
    <row r="4" ht="28" customHeight="1">
      <c r="A4" s="16" t="inlineStr">
        <is>
          <t>Annual Goals</t>
        </is>
      </c>
      <c r="C4" s="18" t="inlineStr">
        <is>
          <t>Q1</t>
        </is>
      </c>
      <c r="E4" s="16" t="inlineStr">
        <is>
          <t>Q2</t>
        </is>
      </c>
    </row>
    <row r="5" ht="24" customHeight="1">
      <c r="A5" s="15" t="inlineStr">
        <is>
          <t>Achieve £15.3m written target</t>
        </is>
      </c>
      <c r="C5" s="17" t="inlineStr">
        <is>
          <t>Confirm objectives and KPI ownership</t>
        </is>
      </c>
      <c r="E5" s="15" t="inlineStr">
        <is>
          <t>Review Q1 performance</t>
        </is>
      </c>
    </row>
    <row r="6" ht="24" customHeight="1">
      <c r="A6" s="15" t="inlineStr">
        <is>
          <t>Deliver £12.42m Mortgage written</t>
        </is>
      </c>
      <c r="C6" s="17" t="inlineStr">
        <is>
          <t>Complete business and team information</t>
        </is>
      </c>
      <c r="E6" s="15" t="inlineStr">
        <is>
          <t>Adjust pipeline and lead-source mix</t>
        </is>
      </c>
    </row>
    <row r="7" ht="24" customHeight="1">
      <c r="A7" s="15" t="inlineStr">
        <is>
          <t>Deliver £2.88m Protection written</t>
        </is>
      </c>
      <c r="C7" s="17" t="inlineStr">
        <is>
          <t>Launch Mortgage and Protection priorities</t>
        </is>
      </c>
      <c r="E7" s="15" t="inlineStr">
        <is>
          <t>Execute client-bank growth actions</t>
        </is>
      </c>
    </row>
    <row r="8" ht="24" customHeight="1">
      <c r="A8" s="15" t="inlineStr">
        <is>
          <t>Build Other Income from Wealth, GI, Later Life and referrals</t>
        </is>
      </c>
      <c r="C8" s="17" t="inlineStr">
        <is>
          <t>Agree Other Income targets and referral routes</t>
        </is>
      </c>
      <c r="E8" s="15" t="inlineStr">
        <is>
          <t>Review recruitment and capacity</t>
        </is>
      </c>
    </row>
    <row r="9" ht="24" customHeight="1">
      <c r="A9" s="15" t="inlineStr">
        <is>
          <t>Complete adviser recruitment and capability plan</t>
        </is>
      </c>
      <c r="C9" s="17" t="inlineStr">
        <is>
          <t>Review Q1 performance</t>
        </is>
      </c>
      <c r="E9" s="15" t="inlineStr">
        <is>
          <t>Review Q2 performance</t>
        </is>
      </c>
    </row>
    <row r="10" ht="24" customHeight="1">
      <c r="A10" s="15" t="n"/>
      <c r="C10" s="17" t="n"/>
      <c r="E10" s="15" t="n"/>
    </row>
    <row r="11" ht="24" customHeight="1">
      <c r="A11" s="15" t="n"/>
      <c r="C11" s="17" t="n"/>
      <c r="E11" s="15" t="n"/>
    </row>
    <row r="12" ht="24" customHeight="1">
      <c r="A12" s="15" t="n"/>
      <c r="C12" s="17" t="n"/>
      <c r="E12" s="15" t="n"/>
    </row>
    <row r="13" ht="24" customHeight="1">
      <c r="A13" s="15" t="n"/>
      <c r="C13" s="17" t="n"/>
      <c r="E13" s="15" t="n"/>
    </row>
    <row r="14" ht="24" customHeight="1">
      <c r="A14" s="15" t="n"/>
      <c r="C14" s="17" t="n"/>
      <c r="E14" s="15" t="n"/>
    </row>
    <row r="15" ht="24" customHeight="1">
      <c r="A15" s="15" t="n"/>
      <c r="C15" s="17" t="n"/>
      <c r="E15" s="15" t="n"/>
    </row>
    <row r="16" ht="24" customHeight="1">
      <c r="A16" s="15" t="n"/>
      <c r="C16" s="17" t="n"/>
      <c r="E16" s="15" t="n"/>
    </row>
    <row r="17" ht="24" customHeight="1">
      <c r="A17" s="15" t="n"/>
      <c r="C17" s="17" t="n"/>
      <c r="E17" s="15" t="n"/>
    </row>
    <row r="18" ht="24" customHeight="1">
      <c r="A18" s="15" t="n"/>
      <c r="C18" s="17" t="n"/>
      <c r="E18" s="15" t="n"/>
    </row>
    <row r="19" ht="24" customHeight="1">
      <c r="A19" s="15" t="n"/>
      <c r="C19" s="17" t="n"/>
      <c r="E19" s="15" t="n"/>
    </row>
    <row r="20" ht="24" customHeight="1">
      <c r="A20" s="15" t="n"/>
    </row>
    <row r="21" ht="24" customHeight="1">
      <c r="A21" s="15" t="n"/>
    </row>
    <row r="22" ht="28" customHeight="1">
      <c r="A22" s="15" t="n"/>
      <c r="C22" s="20" t="inlineStr">
        <is>
          <t>Q3</t>
        </is>
      </c>
      <c r="E22" s="22" t="inlineStr">
        <is>
          <t>Q4</t>
        </is>
      </c>
    </row>
    <row r="23" ht="24" customHeight="1">
      <c r="A23" s="15" t="n"/>
      <c r="C23" s="19" t="inlineStr">
        <is>
          <t>Review Q2 performance</t>
        </is>
      </c>
      <c r="E23" s="21" t="inlineStr">
        <is>
          <t>Review Q3 performance</t>
        </is>
      </c>
    </row>
    <row r="24" ht="24" customHeight="1">
      <c r="A24" s="15" t="n"/>
      <c r="C24" s="19" t="inlineStr">
        <is>
          <t>Accelerate client-bank and Other Income activity</t>
        </is>
      </c>
      <c r="E24" s="21" t="inlineStr">
        <is>
          <t>Close annual Mortgage and Protection gaps</t>
        </is>
      </c>
    </row>
    <row r="25" ht="24" customHeight="1">
      <c r="A25" s="15" t="n"/>
      <c r="C25" s="19" t="inlineStr">
        <is>
          <t>Refresh risks and KPI actions</t>
        </is>
      </c>
      <c r="E25" s="21" t="inlineStr">
        <is>
          <t>Complete year-end campaigns</t>
        </is>
      </c>
    </row>
    <row r="26" ht="24" customHeight="1">
      <c r="A26" s="15" t="n"/>
      <c r="C26" s="19" t="inlineStr">
        <is>
          <t>Confirm Q4 closing priorities</t>
        </is>
      </c>
      <c r="E26" s="21" t="inlineStr">
        <is>
          <t>Finalise 2028 objectives and budget</t>
        </is>
      </c>
    </row>
    <row r="27" ht="24" customHeight="1">
      <c r="A27" s="15" t="n"/>
      <c r="C27" s="19" t="inlineStr">
        <is>
          <t>Review Q3 performance</t>
        </is>
      </c>
      <c r="E27" s="21" t="inlineStr">
        <is>
          <t>Hold annual planning review</t>
        </is>
      </c>
    </row>
    <row r="28" ht="24" customHeight="1">
      <c r="A28" s="15" t="n"/>
      <c r="C28" s="19" t="n"/>
      <c r="E28" s="21" t="n"/>
    </row>
    <row r="29" ht="24" customHeight="1">
      <c r="A29" s="15" t="n"/>
      <c r="C29" s="19" t="n"/>
      <c r="E29" s="21" t="n"/>
    </row>
    <row r="30" ht="24" customHeight="1">
      <c r="A30" s="15" t="n"/>
      <c r="C30" s="19" t="n"/>
      <c r="E30" s="21" t="n"/>
    </row>
    <row r="31" ht="24" customHeight="1">
      <c r="A31" s="15" t="n"/>
      <c r="C31" s="19" t="n"/>
      <c r="E31" s="21" t="n"/>
    </row>
    <row r="32" ht="24" customHeight="1">
      <c r="A32" s="15" t="n"/>
      <c r="C32" s="19" t="n"/>
      <c r="E32" s="21" t="n"/>
    </row>
    <row r="33" ht="24" customHeight="1">
      <c r="A33" s="15" t="n"/>
      <c r="C33" s="19" t="n"/>
      <c r="E33" s="21" t="n"/>
    </row>
    <row r="34" ht="24" customHeight="1">
      <c r="A34" s="15" t="n"/>
      <c r="C34" s="19" t="n"/>
      <c r="E34" s="21" t="n"/>
    </row>
    <row r="35" ht="24" customHeight="1">
      <c r="A35" s="15" t="n"/>
      <c r="C35" s="19" t="n"/>
      <c r="E35" s="21" t="n"/>
    </row>
    <row r="36" ht="24" customHeight="1">
      <c r="A36" s="15" t="n"/>
      <c r="C36" s="19" t="n"/>
      <c r="E36" s="21" t="n"/>
    </row>
    <row r="37" ht="24" customHeight="1">
      <c r="A37" s="15" t="n"/>
      <c r="C37" s="19" t="n"/>
      <c r="E37" s="21" t="n"/>
    </row>
    <row r="38" ht="24" customHeight="1">
      <c r="A38" s="15" t="n"/>
      <c r="C38" s="19" t="n"/>
      <c r="E38" s="21" t="n"/>
    </row>
    <row r="39" ht="24" customHeight="1">
      <c r="A39" s="15" t="n"/>
      <c r="C39" s="19" t="n"/>
      <c r="E39" s="21" t="n"/>
    </row>
    <row r="40" ht="24" customHeight="1">
      <c r="A40" s="15" t="n"/>
      <c r="C40" s="19" t="n"/>
      <c r="E40" s="21" t="n"/>
    </row>
  </sheetData>
  <mergeCells count="1">
    <mergeCell ref="A1:E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0" topLeftCell="A4" workbookViewId="0">
      <selection activeCell="I9" sqref="I9"/>
    </sheetView>
  </sheetViews>
  <sheetFormatPr baseColWidth="8" defaultRowHeight="14"/>
  <cols>
    <col width="23" customWidth="1" min="1" max="1"/>
    <col width="28" customWidth="1" min="2" max="3"/>
    <col width="42" customWidth="1" min="4" max="4"/>
    <col width="24" customWidth="1" min="5" max="5"/>
    <col width="18" customWidth="1" min="6" max="6"/>
    <col width="14" customWidth="1" min="7" max="7"/>
    <col width="17" customWidth="1" min="8" max="8"/>
    <col width="58" customWidth="1" min="9" max="9"/>
  </cols>
  <sheetData>
    <row r="1" ht="25" customHeight="1">
      <c r="A1" s="26" t="inlineStr">
        <is>
          <t>Consolidated Strategy Plan</t>
        </is>
      </c>
    </row>
    <row r="2" ht="25" customHeight="1"/>
    <row r="3" ht="28" customHeight="1">
      <c r="A3" s="27" t="inlineStr">
        <is>
          <t>All strategic-planning subjects are retained in one editable table.</t>
        </is>
      </c>
    </row>
    <row r="5">
      <c r="A5" s="37" t="inlineStr">
        <is>
          <t>Workstream</t>
        </is>
      </c>
      <c r="B5" s="37" t="inlineStr">
        <is>
          <t>Current Position</t>
        </is>
      </c>
      <c r="C5" s="37" t="inlineStr">
        <is>
          <t>2027 Objective</t>
        </is>
      </c>
      <c r="D5" s="37" t="inlineStr">
        <is>
          <t>Key Actions / Operating Model</t>
        </is>
      </c>
      <c r="E5" s="37" t="inlineStr">
        <is>
          <t>KPI / Target</t>
        </is>
      </c>
      <c r="F5" s="37" t="inlineStr">
        <is>
          <t>Owner</t>
        </is>
      </c>
      <c r="G5" s="37" t="inlineStr">
        <is>
          <t>Quarter</t>
        </is>
      </c>
      <c r="H5" s="37" t="inlineStr">
        <is>
          <t>Status</t>
        </is>
      </c>
      <c r="I5" s="37" t="inlineStr">
        <is>
          <t>Planning Prompts</t>
        </is>
      </c>
    </row>
    <row r="6" ht="58" customHeight="1">
      <c r="A6" s="23" t="inlineStr">
        <is>
          <t>Objectives</t>
        </is>
      </c>
      <c r="B6" s="36" t="n"/>
      <c r="C6" s="36" t="n"/>
      <c r="D6" s="36" t="n"/>
      <c r="E6" s="36" t="inlineStr">
        <is>
          <t>Turnover; banked target; productivity; adviser count; conversion</t>
        </is>
      </c>
      <c r="F6" s="36" t="n"/>
      <c r="G6" s="36" t="inlineStr">
        <is>
          <t>Q1</t>
        </is>
      </c>
      <c r="H6" s="36" t="inlineStr">
        <is>
          <t>Not Started</t>
        </is>
      </c>
      <c r="I6" s="36" t="inlineStr">
        <is>
          <t>12-month vision; turnover and banked targets; adviser growth; productivity; written-to-banked conversion; customer journey and KPIs.</t>
        </is>
      </c>
    </row>
    <row r="7" ht="58" customHeight="1">
      <c r="A7" s="23" t="inlineStr">
        <is>
          <t>Recruitment</t>
        </is>
      </c>
      <c r="B7" s="36" t="n"/>
      <c r="C7" s="36" t="n"/>
      <c r="D7" s="36" t="n"/>
      <c r="E7" s="36" t="inlineStr">
        <is>
          <t>Adviser count; hires; time to hire; employment mix</t>
        </is>
      </c>
      <c r="F7" s="36" t="n"/>
      <c r="G7" s="36" t="inlineStr">
        <is>
          <t>Q1</t>
        </is>
      </c>
      <c r="H7" s="36" t="inlineStr">
        <is>
          <t>Not Started</t>
        </is>
      </c>
      <c r="I7" s="36" t="inlineStr">
        <is>
          <t>Current adviser levels and locations; employed/self-employed model; contracts and packages; academy options; recruitment activity and resources.</t>
        </is>
      </c>
    </row>
    <row r="8" ht="58" customHeight="1">
      <c r="A8" s="23" t="inlineStr">
        <is>
          <t>Lead Generation</t>
        </is>
      </c>
      <c r="B8" s="36" t="n"/>
      <c r="C8" s="36" t="n"/>
      <c r="D8" s="36" t="n"/>
      <c r="E8" s="36" t="inlineStr">
        <is>
          <t>Lead volume; cost; appointment and completion conversion</t>
        </is>
      </c>
      <c r="F8" s="36" t="n"/>
      <c r="G8" s="36" t="inlineStr">
        <is>
          <t>Q1</t>
        </is>
      </c>
      <c r="H8" s="36" t="inlineStr">
        <is>
          <t>Not Started</t>
        </is>
      </c>
      <c r="I8" s="36" t="inlineStr">
        <is>
          <t>Current and new lead sources; introducers; digital tools; volume and value by stream; ownership and support.</t>
        </is>
      </c>
    </row>
    <row r="9" ht="58" customHeight="1">
      <c r="A9" s="23" t="inlineStr">
        <is>
          <t>Protection</t>
        </is>
      </c>
      <c r="B9" s="36" t="n"/>
      <c r="C9" s="36" t="n"/>
      <c r="D9" s="36" t="n"/>
      <c r="E9" s="36" t="inlineStr">
        <is>
          <t>Protection penetration; mix; referrals; SLA</t>
        </is>
      </c>
      <c r="F9" s="36" t="n"/>
      <c r="G9" s="36" t="inlineStr">
        <is>
          <t>Q1</t>
        </is>
      </c>
      <c r="H9" s="36" t="inlineStr">
        <is>
          <t>Not Started</t>
        </is>
      </c>
      <c r="I9" s="36" t="inlineStr">
        <is>
          <t>Current mix and penetration; sales/referral model; triggers; commission splits; SLAs; development; client-bank campaigns; benchmark actions.</t>
        </is>
      </c>
    </row>
    <row r="10" ht="58" customHeight="1">
      <c r="A10" s="23" t="inlineStr">
        <is>
          <t>GI</t>
        </is>
      </c>
      <c r="B10" s="36" t="n"/>
      <c r="C10" s="36" t="n"/>
      <c r="D10" s="36" t="n"/>
      <c r="E10" s="36" t="inlineStr">
        <is>
          <t>GI penetration; referrals; conversion; income</t>
        </is>
      </c>
      <c r="F10" s="36" t="n"/>
      <c r="G10" s="36" t="inlineStr">
        <is>
          <t>Q2</t>
        </is>
      </c>
      <c r="H10" s="36" t="inlineStr">
        <is>
          <t>Not Started</t>
        </is>
      </c>
      <c r="I10" s="36" t="inlineStr">
        <is>
          <t>Current and target GI penetration; specialist/referral model; triggers; VITA options; commission splits; SLAs; development opportunities.</t>
        </is>
      </c>
    </row>
    <row r="11" ht="58" customHeight="1">
      <c r="A11" s="23" t="inlineStr">
        <is>
          <t>Client Bank</t>
        </is>
      </c>
      <c r="B11" s="36" t="n"/>
      <c r="C11" s="36" t="n"/>
      <c r="D11" s="36" t="n"/>
      <c r="E11" s="36" t="inlineStr">
        <is>
          <t>PED retention; annual reviews; campaigns; conversion</t>
        </is>
      </c>
      <c r="F11" s="36" t="n"/>
      <c r="G11" s="36" t="inlineStr">
        <is>
          <t>Q2</t>
        </is>
      </c>
      <c r="H11" s="36" t="inlineStr">
        <is>
          <t>Not Started</t>
        </is>
      </c>
      <c r="I11" s="36" t="inlineStr">
        <is>
          <t>Client nurture; PED management and retention; annual reviews; OOCB reports/campaigns; communications; specialist support; KPIs and conversion.</t>
        </is>
      </c>
    </row>
    <row r="12" ht="58" customHeight="1">
      <c r="A12" s="23" t="inlineStr">
        <is>
          <t>Admin &amp; Leads</t>
        </is>
      </c>
      <c r="B12" s="36" t="n"/>
      <c r="C12" s="36" t="n"/>
      <c r="D12" s="36" t="n"/>
      <c r="E12" s="36" t="inlineStr">
        <is>
          <t>Admin ratio; response SLA; completion time; quality</t>
        </is>
      </c>
      <c r="F12" s="36" t="n"/>
      <c r="G12" s="36" t="inlineStr">
        <is>
          <t>Q2</t>
        </is>
      </c>
      <c r="H12" s="36" t="inlineStr">
        <is>
          <t>Not Started</t>
        </is>
      </c>
      <c r="I12" s="36" t="inlineStr">
        <is>
          <t>Admin/case-manager resources and roles; workflow; lead management; nurture and qualification; overdue reviews; SLAs and incentives.</t>
        </is>
      </c>
    </row>
    <row r="13" ht="58" customHeight="1">
      <c r="A13" s="23" t="inlineStr">
        <is>
          <t>Marketing</t>
        </is>
      </c>
      <c r="B13" s="36" t="n"/>
      <c r="C13" s="36" t="n"/>
      <c r="D13" s="36" t="n"/>
      <c r="E13" s="36" t="inlineStr">
        <is>
          <t>Website/PPC leads; cost per lead; engagement</t>
        </is>
      </c>
      <c r="F13" s="36" t="n"/>
      <c r="G13" s="36" t="inlineStr">
        <is>
          <t>Q2</t>
        </is>
      </c>
      <c r="H13" s="36" t="inlineStr">
        <is>
          <t>Not Started</t>
        </is>
      </c>
      <c r="I13" s="36" t="inlineStr">
        <is>
          <t>Website/social audit; profile and lead generation support; ownership; PPC and campaigns; onboarding; Dashley/Mortgage Monitoring; digital toolkit.</t>
        </is>
      </c>
    </row>
    <row r="14" ht="58" customHeight="1">
      <c r="A14" s="23" t="inlineStr">
        <is>
          <t>Wealth &amp; Later Life</t>
        </is>
      </c>
      <c r="B14" s="36" t="n"/>
      <c r="C14" s="36" t="n"/>
      <c r="D14" s="36" t="n"/>
      <c r="E14" s="36" t="inlineStr">
        <is>
          <t>Opportunities; referrals; training; income</t>
        </is>
      </c>
      <c r="F14" s="36" t="n"/>
      <c r="G14" s="36" t="inlineStr">
        <is>
          <t>Q3</t>
        </is>
      </c>
      <c r="H14" s="36" t="inlineStr">
        <is>
          <t>Not Started</t>
        </is>
      </c>
      <c r="I14" s="36" t="inlineStr">
        <is>
          <t>New/existing client opportunities; referral process and ownership; development and training; readiness milestones; interim referral approach.</t>
        </is>
      </c>
    </row>
    <row r="15" ht="58" customHeight="1">
      <c r="A15" s="23" t="inlineStr">
        <is>
          <t>Other Income</t>
        </is>
      </c>
      <c r="B15" s="36" t="n"/>
      <c r="C15" s="36" t="n"/>
      <c r="D15" s="36" t="n"/>
      <c r="E15" s="36" t="inlineStr">
        <is>
          <t>Wealth; GI; conveyancing; wills; other referral income</t>
        </is>
      </c>
      <c r="F15" s="36" t="n"/>
      <c r="G15" s="36" t="inlineStr">
        <is>
          <t>Q3</t>
        </is>
      </c>
      <c r="H15" s="36" t="inlineStr">
        <is>
          <t>Not Started</t>
        </is>
      </c>
      <c r="I15" s="36" t="inlineStr">
        <is>
          <t>Moving Hub; conveyancing; wills; Wealth; GI; Later Life; bridging/commercial referrals; providers; ownership; SLAs and income targets.</t>
        </is>
      </c>
    </row>
  </sheetData>
  <mergeCells count="2">
    <mergeCell ref="A1:I2"/>
    <mergeCell ref="A3:I3"/>
  </mergeCells>
  <conditionalFormatting sqref="H6:H15">
    <cfRule type="containsText" priority="1" operator="containsText" dxfId="0" text="Complete"/>
    <cfRule type="containsText" priority="2" operator="containsText" dxfId="2" text="At Risk"/>
  </conditionalFormatting>
  <dataValidations count="2">
    <dataValidation sqref="G6:G15" showDropDown="0" showInputMessage="0" showErrorMessage="0" allowBlank="0" type="list">
      <formula1>"Q1,Q2,Q3,Q4,All Year"</formula1>
    </dataValidation>
    <dataValidation sqref="H6:H15" showDropDown="0" showInputMessage="0" showErrorMessage="0" allowBlank="0" type="list">
      <formula1>"Not Started,In Progress,At Risk,Blocked,Complete"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9"/>
  <sheetViews>
    <sheetView showGridLines="0" workbookViewId="0">
      <selection activeCell="D26" sqref="D26"/>
    </sheetView>
  </sheetViews>
  <sheetFormatPr baseColWidth="8" defaultRowHeight="14"/>
  <cols>
    <col width="21" customWidth="1" min="1" max="1"/>
    <col width="16" customWidth="1" min="2" max="8"/>
    <col width="17" customWidth="1" min="9" max="9"/>
    <col width="16" customWidth="1" min="10" max="10"/>
    <col width="17" customWidth="1" min="11" max="12"/>
    <col width="15" customWidth="1" min="13" max="13"/>
    <col width="18" customWidth="1" min="14" max="14"/>
  </cols>
  <sheetData>
    <row r="1" ht="25" customHeight="1">
      <c r="A1" s="26" t="inlineStr">
        <is>
          <t>2027 KPI Tracker</t>
        </is>
      </c>
    </row>
    <row r="2" ht="25" customHeight="1"/>
    <row r="3" ht="28" customHeight="1">
      <c r="A3" s="27" t="inlineStr">
        <is>
          <t>Targets link to the Financial Plan. Enter actuals and operating percentages in yellow cells.</t>
        </is>
      </c>
    </row>
    <row r="5" ht="28" customHeight="1">
      <c r="A5" s="37" t="inlineStr">
        <is>
          <t>Month</t>
        </is>
      </c>
      <c r="B5" s="37" t="inlineStr">
        <is>
          <t>Total Target</t>
        </is>
      </c>
      <c r="C5" s="37" t="inlineStr">
        <is>
          <t>Total Actual</t>
        </is>
      </c>
      <c r="D5" s="37" t="inlineStr">
        <is>
          <t>Variance</t>
        </is>
      </c>
      <c r="E5" s="37" t="inlineStr">
        <is>
          <t>Mortgage Target</t>
        </is>
      </c>
      <c r="F5" s="37" t="inlineStr">
        <is>
          <t>Actual</t>
        </is>
      </c>
      <c r="G5" s="37" t="inlineStr">
        <is>
          <t>Protection Target</t>
        </is>
      </c>
      <c r="H5" s="37" t="inlineStr">
        <is>
          <t>Actual</t>
        </is>
      </c>
      <c r="I5" s="37" t="inlineStr">
        <is>
          <t>Other Income Target</t>
        </is>
      </c>
      <c r="J5" s="37" t="inlineStr">
        <is>
          <t>Actual</t>
        </is>
      </c>
      <c r="K5" s="37" t="inlineStr">
        <is>
          <t>Written-to-Banked %</t>
        </is>
      </c>
      <c r="L5" s="37" t="inlineStr">
        <is>
          <t>Protection Pen %</t>
        </is>
      </c>
      <c r="M5" s="37" t="inlineStr">
        <is>
          <t>GI Pen %</t>
        </is>
      </c>
      <c r="N5" s="37" t="inlineStr">
        <is>
          <t>PED Retention %</t>
        </is>
      </c>
    </row>
    <row r="6">
      <c r="A6" t="inlineStr">
        <is>
          <t>Jan</t>
        </is>
      </c>
      <c r="B6" s="5">
        <f>'Financial Plan'!D16</f>
        <v/>
      </c>
      <c r="C6" s="3" t="n">
        <v>111243</v>
      </c>
      <c r="D6" s="5">
        <f>IF(C6="","",C6-B6)</f>
        <v/>
      </c>
      <c r="E6" s="5">
        <f>'Financial Plan'!D13</f>
        <v/>
      </c>
      <c r="F6" s="3" t="n"/>
      <c r="G6" s="5">
        <f>'Financial Plan'!D14</f>
        <v/>
      </c>
      <c r="H6" s="3" t="n"/>
      <c r="I6" s="5">
        <f>'Financial Plan'!D15</f>
        <v/>
      </c>
      <c r="J6" s="3" t="n"/>
      <c r="K6" s="14" t="n"/>
      <c r="L6" s="14" t="n"/>
      <c r="M6" s="14" t="n"/>
      <c r="N6" s="14" t="n"/>
    </row>
    <row r="7">
      <c r="A7" t="inlineStr">
        <is>
          <t>Feb</t>
        </is>
      </c>
      <c r="B7" s="5">
        <f>'Financial Plan'!E16</f>
        <v/>
      </c>
      <c r="C7" s="3" t="n"/>
      <c r="D7" s="5">
        <f>IF(C7="","",C7-B7)</f>
        <v/>
      </c>
      <c r="E7" s="5">
        <f>'Financial Plan'!E13</f>
        <v/>
      </c>
      <c r="F7" s="3" t="n"/>
      <c r="G7" s="5">
        <f>'Financial Plan'!E14</f>
        <v/>
      </c>
      <c r="H7" s="3" t="n"/>
      <c r="I7" s="5">
        <f>'Financial Plan'!E15</f>
        <v/>
      </c>
      <c r="J7" s="3" t="n"/>
      <c r="K7" s="14" t="n"/>
      <c r="L7" s="14" t="n"/>
      <c r="M7" s="14" t="n"/>
      <c r="N7" s="14" t="n"/>
    </row>
    <row r="8">
      <c r="A8" t="inlineStr">
        <is>
          <t>Mar</t>
        </is>
      </c>
      <c r="B8" s="5">
        <f>'Financial Plan'!F16</f>
        <v/>
      </c>
      <c r="C8" s="3" t="n"/>
      <c r="D8" s="5">
        <f>IF(C8="","",C8-B8)</f>
        <v/>
      </c>
      <c r="E8" s="5">
        <f>'Financial Plan'!F13</f>
        <v/>
      </c>
      <c r="F8" s="3" t="n"/>
      <c r="G8" s="5">
        <f>'Financial Plan'!F14</f>
        <v/>
      </c>
      <c r="H8" s="3" t="n"/>
      <c r="I8" s="5">
        <f>'Financial Plan'!F15</f>
        <v/>
      </c>
      <c r="J8" s="3" t="n"/>
      <c r="K8" s="14" t="n"/>
      <c r="L8" s="14" t="n"/>
      <c r="M8" s="14" t="n"/>
      <c r="N8" s="14" t="n"/>
    </row>
    <row r="9">
      <c r="A9" t="inlineStr">
        <is>
          <t>Apr</t>
        </is>
      </c>
      <c r="B9" s="5">
        <f>'Financial Plan'!G16</f>
        <v/>
      </c>
      <c r="C9" s="3" t="n"/>
      <c r="D9" s="5">
        <f>IF(C9="","",C9-B9)</f>
        <v/>
      </c>
      <c r="E9" s="5">
        <f>'Financial Plan'!G13</f>
        <v/>
      </c>
      <c r="F9" s="3" t="n"/>
      <c r="G9" s="5">
        <f>'Financial Plan'!G14</f>
        <v/>
      </c>
      <c r="H9" s="3" t="n"/>
      <c r="I9" s="5">
        <f>'Financial Plan'!G15</f>
        <v/>
      </c>
      <c r="J9" s="3" t="n"/>
      <c r="K9" s="14" t="n"/>
      <c r="L9" s="14" t="n"/>
      <c r="M9" s="14" t="n"/>
      <c r="N9" s="14" t="n"/>
    </row>
    <row r="10">
      <c r="A10" t="inlineStr">
        <is>
          <t>May</t>
        </is>
      </c>
      <c r="B10" s="5">
        <f>'Financial Plan'!H16</f>
        <v/>
      </c>
      <c r="C10" s="3" t="n"/>
      <c r="D10" s="5">
        <f>IF(C10="","",C10-B10)</f>
        <v/>
      </c>
      <c r="E10" s="5">
        <f>'Financial Plan'!H13</f>
        <v/>
      </c>
      <c r="F10" s="3" t="n"/>
      <c r="G10" s="5">
        <f>'Financial Plan'!H14</f>
        <v/>
      </c>
      <c r="H10" s="3" t="n"/>
      <c r="I10" s="5">
        <f>'Financial Plan'!H15</f>
        <v/>
      </c>
      <c r="J10" s="3" t="n"/>
      <c r="K10" s="14" t="n"/>
      <c r="L10" s="14" t="n"/>
      <c r="M10" s="14" t="n"/>
      <c r="N10" s="14" t="n"/>
    </row>
    <row r="11">
      <c r="A11" t="inlineStr">
        <is>
          <t>Jun</t>
        </is>
      </c>
      <c r="B11" s="5">
        <f>'Financial Plan'!I16</f>
        <v/>
      </c>
      <c r="C11" s="3" t="n"/>
      <c r="D11" s="5">
        <f>IF(C11="","",C11-B11)</f>
        <v/>
      </c>
      <c r="E11" s="5">
        <f>'Financial Plan'!I13</f>
        <v/>
      </c>
      <c r="F11" s="3" t="n"/>
      <c r="G11" s="5">
        <f>'Financial Plan'!I14</f>
        <v/>
      </c>
      <c r="H11" s="3" t="n"/>
      <c r="I11" s="5">
        <f>'Financial Plan'!I15</f>
        <v/>
      </c>
      <c r="J11" s="3" t="n"/>
      <c r="K11" s="14" t="n"/>
      <c r="L11" s="14" t="n"/>
      <c r="M11" s="14" t="n"/>
      <c r="N11" s="14" t="n"/>
    </row>
    <row r="12">
      <c r="A12" t="inlineStr">
        <is>
          <t>Jul</t>
        </is>
      </c>
      <c r="B12" s="5">
        <f>'Financial Plan'!J16</f>
        <v/>
      </c>
      <c r="C12" s="3" t="n"/>
      <c r="D12" s="5">
        <f>IF(C12="","",C12-B12)</f>
        <v/>
      </c>
      <c r="E12" s="5">
        <f>'Financial Plan'!J13</f>
        <v/>
      </c>
      <c r="F12" s="3" t="n"/>
      <c r="G12" s="5">
        <f>'Financial Plan'!J14</f>
        <v/>
      </c>
      <c r="H12" s="3" t="n"/>
      <c r="I12" s="5">
        <f>'Financial Plan'!J15</f>
        <v/>
      </c>
      <c r="J12" s="3" t="n"/>
      <c r="K12" s="14" t="n"/>
      <c r="L12" s="14" t="n"/>
      <c r="M12" s="14" t="n"/>
      <c r="N12" s="14" t="n"/>
    </row>
    <row r="13">
      <c r="A13" t="inlineStr">
        <is>
          <t>Aug</t>
        </is>
      </c>
      <c r="B13" s="5">
        <f>'Financial Plan'!K16</f>
        <v/>
      </c>
      <c r="C13" s="3" t="n"/>
      <c r="D13" s="5">
        <f>IF(C13="","",C13-B13)</f>
        <v/>
      </c>
      <c r="E13" s="5">
        <f>'Financial Plan'!K13</f>
        <v/>
      </c>
      <c r="F13" s="3" t="n"/>
      <c r="G13" s="5">
        <f>'Financial Plan'!K14</f>
        <v/>
      </c>
      <c r="H13" s="3" t="n"/>
      <c r="I13" s="5">
        <f>'Financial Plan'!K15</f>
        <v/>
      </c>
      <c r="J13" s="3" t="n"/>
      <c r="K13" s="14" t="n"/>
      <c r="L13" s="14" t="n"/>
      <c r="M13" s="14" t="n"/>
      <c r="N13" s="14" t="n"/>
    </row>
    <row r="14">
      <c r="A14" t="inlineStr">
        <is>
          <t>Sep</t>
        </is>
      </c>
      <c r="B14" s="5">
        <f>'Financial Plan'!L16</f>
        <v/>
      </c>
      <c r="C14" s="3" t="n"/>
      <c r="D14" s="5">
        <f>IF(C14="","",C14-B14)</f>
        <v/>
      </c>
      <c r="E14" s="5">
        <f>'Financial Plan'!L13</f>
        <v/>
      </c>
      <c r="F14" s="3" t="n"/>
      <c r="G14" s="5">
        <f>'Financial Plan'!L14</f>
        <v/>
      </c>
      <c r="H14" s="3" t="n"/>
      <c r="I14" s="5">
        <f>'Financial Plan'!L15</f>
        <v/>
      </c>
      <c r="J14" s="3" t="n"/>
      <c r="K14" s="14" t="n"/>
      <c r="L14" s="14" t="n"/>
      <c r="M14" s="14" t="n"/>
      <c r="N14" s="14" t="n"/>
    </row>
    <row r="15">
      <c r="A15" t="inlineStr">
        <is>
          <t>Oct</t>
        </is>
      </c>
      <c r="B15" s="5">
        <f>'Financial Plan'!M16</f>
        <v/>
      </c>
      <c r="C15" s="3" t="n"/>
      <c r="D15" s="5">
        <f>IF(C15="","",C15-B15)</f>
        <v/>
      </c>
      <c r="E15" s="5">
        <f>'Financial Plan'!M13</f>
        <v/>
      </c>
      <c r="F15" s="3" t="n"/>
      <c r="G15" s="5">
        <f>'Financial Plan'!M14</f>
        <v/>
      </c>
      <c r="H15" s="3" t="n"/>
      <c r="I15" s="5">
        <f>'Financial Plan'!M15</f>
        <v/>
      </c>
      <c r="J15" s="3" t="n"/>
      <c r="K15" s="14" t="n"/>
      <c r="L15" s="14" t="n"/>
      <c r="M15" s="14" t="n"/>
      <c r="N15" s="14" t="n"/>
    </row>
    <row r="16">
      <c r="A16" t="inlineStr">
        <is>
          <t>Nov</t>
        </is>
      </c>
      <c r="B16" s="5">
        <f>'Financial Plan'!N16</f>
        <v/>
      </c>
      <c r="C16" s="3" t="n"/>
      <c r="D16" s="5">
        <f>IF(C16="","",C16-B16)</f>
        <v/>
      </c>
      <c r="E16" s="5">
        <f>'Financial Plan'!N13</f>
        <v/>
      </c>
      <c r="F16" s="3" t="n"/>
      <c r="G16" s="5">
        <f>'Financial Plan'!N14</f>
        <v/>
      </c>
      <c r="H16" s="3" t="n"/>
      <c r="I16" s="5">
        <f>'Financial Plan'!N15</f>
        <v/>
      </c>
      <c r="J16" s="3" t="n"/>
      <c r="K16" s="14" t="n"/>
      <c r="L16" s="14" t="n"/>
      <c r="M16" s="14" t="n"/>
      <c r="N16" s="14" t="n"/>
    </row>
    <row r="17">
      <c r="A17" t="inlineStr">
        <is>
          <t>Dec</t>
        </is>
      </c>
      <c r="B17" s="5">
        <f>'Financial Plan'!O16</f>
        <v/>
      </c>
      <c r="C17" s="3" t="n"/>
      <c r="D17" s="5">
        <f>IF(C17="","",C17-B17)</f>
        <v/>
      </c>
      <c r="E17" s="5">
        <f>'Financial Plan'!O13</f>
        <v/>
      </c>
      <c r="F17" s="3" t="n"/>
      <c r="G17" s="5">
        <f>'Financial Plan'!O14</f>
        <v/>
      </c>
      <c r="H17" s="3" t="n"/>
      <c r="I17" s="5">
        <f>'Financial Plan'!O15</f>
        <v/>
      </c>
      <c r="J17" s="3" t="n"/>
      <c r="K17" s="14" t="n"/>
      <c r="L17" s="14" t="n"/>
      <c r="M17" s="14" t="n"/>
      <c r="N17" s="14" t="n"/>
    </row>
    <row r="19">
      <c r="A19" s="24" t="inlineStr">
        <is>
          <t>ANNUAL / AVERAGE</t>
        </is>
      </c>
      <c r="B19" s="7">
        <f>SUM(B6:B17)</f>
        <v/>
      </c>
      <c r="C19" s="7">
        <f>SUM(C6:C17)</f>
        <v/>
      </c>
      <c r="D19" s="7">
        <f>IF(C19=0,"",C19-B19)</f>
        <v/>
      </c>
      <c r="E19" s="7">
        <f>SUM(E6:E17)</f>
        <v/>
      </c>
      <c r="F19" s="7">
        <f>SUM(F6:F17)</f>
        <v/>
      </c>
      <c r="G19" s="7">
        <f>SUM(G6:G17)</f>
        <v/>
      </c>
      <c r="H19" s="7">
        <f>SUM(H6:H17)</f>
        <v/>
      </c>
      <c r="I19" s="7">
        <f>SUM(I6:I17)</f>
        <v/>
      </c>
      <c r="J19" s="7">
        <f>SUM(J6:J17)</f>
        <v/>
      </c>
      <c r="K19" s="25">
        <f>IF(COUNTA(K6:K17)=0,"",AVERAGE(K6:K17))</f>
        <v/>
      </c>
      <c r="L19" s="25">
        <f>IF(COUNTA(L6:L17)=0,"",AVERAGE(L6:L17))</f>
        <v/>
      </c>
      <c r="M19" s="25">
        <f>IF(COUNTA(M6:M17)=0,"",AVERAGE(M6:M17))</f>
        <v/>
      </c>
      <c r="N19" s="25">
        <f>IF(COUNTA(N6:N17)=0,"",AVERAGE(N6:N17))</f>
        <v/>
      </c>
    </row>
  </sheetData>
  <mergeCells count="2">
    <mergeCell ref="A1:N2"/>
    <mergeCell ref="A3:N3"/>
  </mergeCells>
  <conditionalFormatting sqref="D6:D19">
    <cfRule type="cellIs" priority="1" operator="lessThan" dxfId="1">
      <formula>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6"/>
  <sheetViews>
    <sheetView showGridLines="0" tabSelected="1" workbookViewId="0">
      <selection activeCell="E7" sqref="E7"/>
    </sheetView>
  </sheetViews>
  <sheetFormatPr baseColWidth="8" defaultRowHeight="14"/>
  <cols>
    <col width="28" customWidth="1" min="1" max="1"/>
    <col width="19" customWidth="1" min="2" max="2"/>
    <col width="17" customWidth="1" min="3" max="4"/>
    <col width="38" customWidth="1" min="5" max="5"/>
    <col width="19" customWidth="1" min="6" max="6"/>
    <col width="17" customWidth="1" min="7" max="7"/>
    <col width="18" customWidth="1" min="8" max="8"/>
    <col width="34" customWidth="1" min="9" max="9"/>
  </cols>
  <sheetData>
    <row r="1" ht="25" customHeight="1">
      <c r="A1" s="26" t="inlineStr">
        <is>
          <t>Risks, Actions and Model Checks</t>
        </is>
      </c>
    </row>
    <row r="2" ht="25" customHeight="1"/>
    <row r="3" ht="28" customHeight="1">
      <c r="A3" s="27" t="inlineStr">
        <is>
          <t>A single register for delivery actions, risks and dependencies.</t>
        </is>
      </c>
    </row>
    <row r="5">
      <c r="A5" s="35" t="inlineStr">
        <is>
          <t>Model checks</t>
        </is>
      </c>
    </row>
    <row r="6">
      <c r="A6" t="inlineStr">
        <is>
          <t>MODEL STATUS</t>
        </is>
      </c>
      <c r="B6">
        <f>IF(COUNTIF(B9:B12,"FAIL")=0,"PASS","FAIL")</f>
        <v/>
      </c>
    </row>
    <row r="8">
      <c r="A8" s="37" t="inlineStr">
        <is>
          <t>Check</t>
        </is>
      </c>
      <c r="B8" s="37" t="inlineStr">
        <is>
          <t>Status</t>
        </is>
      </c>
      <c r="C8" s="37" t="inlineStr">
        <is>
          <t>Delta</t>
        </is>
      </c>
      <c r="D8" s="37" t="inlineStr">
        <is>
          <t>Where to fix</t>
        </is>
      </c>
    </row>
    <row r="9">
      <c r="A9" s="8" t="inlineStr">
        <is>
          <t>Annual target equals stream totals</t>
        </is>
      </c>
      <c r="B9" s="8">
        <f>IF(ABS(C9)&lt;0.01,"PASS","FAIL")</f>
        <v/>
      </c>
      <c r="C9" s="10">
        <f>'Financial Plan'!P16-SUM('Financial Plan'!P13:P15)</f>
        <v/>
      </c>
      <c r="D9" s="8" t="inlineStr">
        <is>
          <t>Financial Plan</t>
        </is>
      </c>
    </row>
    <row r="10">
      <c r="A10" s="8" t="inlineStr">
        <is>
          <t>Monthly totals equal annual</t>
        </is>
      </c>
      <c r="B10" s="8">
        <f>IF(ABS(C10)&lt;0.01,"PASS","FAIL")</f>
        <v/>
      </c>
      <c r="C10" s="10">
        <f>SUM('Financial Plan'!D16:O16)-'Financial Plan'!P16</f>
        <v/>
      </c>
      <c r="D10" s="8" t="inlineStr">
        <is>
          <t>Financial Plan</t>
        </is>
      </c>
    </row>
    <row r="11">
      <c r="A11" s="8" t="inlineStr">
        <is>
          <t>Quarter total equals annual</t>
        </is>
      </c>
      <c r="B11" s="8">
        <f>IF(ABS(C11)&lt;0.01,"PASS","FAIL")</f>
        <v/>
      </c>
      <c r="C11" s="10">
        <f>SUM('Financial Plan'!B24:E24)-'Financial Plan'!F24</f>
        <v/>
      </c>
      <c r="D11" s="8" t="inlineStr">
        <is>
          <t>Financial Plan</t>
        </is>
      </c>
    </row>
    <row r="12">
      <c r="A12" s="8" t="inlineStr">
        <is>
          <t>Plan year is 2027</t>
        </is>
      </c>
      <c r="B12" s="8">
        <f>IF(ABS(C12)&lt;0.01,"PASS","FAIL")</f>
        <v/>
      </c>
      <c r="C12" s="8">
        <f>2027-2027</f>
        <v/>
      </c>
      <c r="D12" s="8" t="inlineStr">
        <is>
          <t>Financial Plan</t>
        </is>
      </c>
    </row>
    <row r="15">
      <c r="A15" s="35" t="inlineStr">
        <is>
          <t>Risk and action register</t>
        </is>
      </c>
    </row>
    <row r="16">
      <c r="A16" s="37" t="inlineStr">
        <is>
          <t>Risk / Action</t>
        </is>
      </c>
      <c r="B16" s="37" t="inlineStr">
        <is>
          <t>Type</t>
        </is>
      </c>
      <c r="C16" s="37" t="inlineStr">
        <is>
          <t>Likelihood</t>
        </is>
      </c>
      <c r="D16" s="37" t="inlineStr">
        <is>
          <t>Impact / Priority</t>
        </is>
      </c>
      <c r="E16" s="37" t="inlineStr">
        <is>
          <t>Mitigation / Next Step</t>
        </is>
      </c>
      <c r="F16" s="37" t="inlineStr">
        <is>
          <t>Owner</t>
        </is>
      </c>
      <c r="G16" s="37" t="inlineStr">
        <is>
          <t>Due Date</t>
        </is>
      </c>
      <c r="H16" s="37" t="inlineStr">
        <is>
          <t>Status</t>
        </is>
      </c>
      <c r="I16" s="37" t="inlineStr">
        <is>
          <t>Notes</t>
        </is>
      </c>
    </row>
    <row r="17">
      <c r="A17" s="36" t="n"/>
      <c r="B17" s="36" t="inlineStr">
        <is>
          <t>Action</t>
        </is>
      </c>
      <c r="C17" s="36" t="inlineStr">
        <is>
          <t>Medium</t>
        </is>
      </c>
      <c r="D17" s="36" t="inlineStr">
        <is>
          <t>Medium</t>
        </is>
      </c>
      <c r="E17" s="36" t="n"/>
      <c r="F17" s="36" t="n"/>
      <c r="G17" s="12" t="n"/>
      <c r="H17" s="36" t="inlineStr">
        <is>
          <t>Open</t>
        </is>
      </c>
      <c r="I17" s="36" t="n"/>
    </row>
    <row r="18">
      <c r="A18" s="36" t="n"/>
      <c r="B18" s="36" t="inlineStr">
        <is>
          <t>Action</t>
        </is>
      </c>
      <c r="C18" s="36" t="inlineStr">
        <is>
          <t>Medium</t>
        </is>
      </c>
      <c r="D18" s="36" t="inlineStr">
        <is>
          <t>Medium</t>
        </is>
      </c>
      <c r="E18" s="36" t="n"/>
      <c r="F18" s="36" t="n"/>
      <c r="G18" s="12" t="n"/>
      <c r="H18" s="36" t="inlineStr">
        <is>
          <t>Open</t>
        </is>
      </c>
      <c r="I18" s="36" t="n"/>
    </row>
    <row r="19">
      <c r="A19" s="36" t="n"/>
      <c r="B19" s="36" t="inlineStr">
        <is>
          <t>Action</t>
        </is>
      </c>
      <c r="C19" s="36" t="inlineStr">
        <is>
          <t>Medium</t>
        </is>
      </c>
      <c r="D19" s="36" t="inlineStr">
        <is>
          <t>Medium</t>
        </is>
      </c>
      <c r="E19" s="36" t="n"/>
      <c r="F19" s="36" t="n"/>
      <c r="G19" s="12" t="n"/>
      <c r="H19" s="36" t="inlineStr">
        <is>
          <t>Open</t>
        </is>
      </c>
      <c r="I19" s="36" t="n"/>
    </row>
    <row r="20">
      <c r="A20" s="36" t="n"/>
      <c r="B20" s="36" t="inlineStr">
        <is>
          <t>Action</t>
        </is>
      </c>
      <c r="C20" s="36" t="inlineStr">
        <is>
          <t>Medium</t>
        </is>
      </c>
      <c r="D20" s="36" t="inlineStr">
        <is>
          <t>Medium</t>
        </is>
      </c>
      <c r="E20" s="36" t="n"/>
      <c r="F20" s="36" t="n"/>
      <c r="G20" s="12" t="n"/>
      <c r="H20" s="36" t="inlineStr">
        <is>
          <t>Open</t>
        </is>
      </c>
      <c r="I20" s="36" t="n"/>
    </row>
    <row r="21">
      <c r="A21" s="36" t="n"/>
      <c r="B21" s="36" t="inlineStr">
        <is>
          <t>Action</t>
        </is>
      </c>
      <c r="C21" s="36" t="inlineStr">
        <is>
          <t>Medium</t>
        </is>
      </c>
      <c r="D21" s="36" t="inlineStr">
        <is>
          <t>Medium</t>
        </is>
      </c>
      <c r="E21" s="36" t="n"/>
      <c r="F21" s="36" t="n"/>
      <c r="G21" s="12" t="n"/>
      <c r="H21" s="36" t="inlineStr">
        <is>
          <t>Open</t>
        </is>
      </c>
      <c r="I21" s="36" t="n"/>
    </row>
    <row r="22">
      <c r="A22" s="36" t="n"/>
      <c r="B22" s="36" t="inlineStr">
        <is>
          <t>Action</t>
        </is>
      </c>
      <c r="C22" s="36" t="inlineStr">
        <is>
          <t>Medium</t>
        </is>
      </c>
      <c r="D22" s="36" t="inlineStr">
        <is>
          <t>Medium</t>
        </is>
      </c>
      <c r="E22" s="36" t="n"/>
      <c r="F22" s="36" t="n"/>
      <c r="G22" s="12" t="n"/>
      <c r="H22" s="36" t="inlineStr">
        <is>
          <t>Open</t>
        </is>
      </c>
      <c r="I22" s="36" t="n"/>
    </row>
    <row r="23">
      <c r="A23" s="36" t="n"/>
      <c r="B23" s="36" t="inlineStr">
        <is>
          <t>Action</t>
        </is>
      </c>
      <c r="C23" s="36" t="inlineStr">
        <is>
          <t>Medium</t>
        </is>
      </c>
      <c r="D23" s="36" t="inlineStr">
        <is>
          <t>Medium</t>
        </is>
      </c>
      <c r="E23" s="36" t="n"/>
      <c r="F23" s="36" t="n"/>
      <c r="G23" s="12" t="n"/>
      <c r="H23" s="36" t="inlineStr">
        <is>
          <t>Open</t>
        </is>
      </c>
      <c r="I23" s="36" t="n"/>
    </row>
    <row r="24">
      <c r="A24" s="36" t="n"/>
      <c r="B24" s="36" t="inlineStr">
        <is>
          <t>Action</t>
        </is>
      </c>
      <c r="C24" s="36" t="inlineStr">
        <is>
          <t>Medium</t>
        </is>
      </c>
      <c r="D24" s="36" t="inlineStr">
        <is>
          <t>Medium</t>
        </is>
      </c>
      <c r="E24" s="36" t="n"/>
      <c r="F24" s="36" t="n"/>
      <c r="G24" s="12" t="n"/>
      <c r="H24" s="36" t="inlineStr">
        <is>
          <t>Open</t>
        </is>
      </c>
      <c r="I24" s="36" t="n"/>
    </row>
    <row r="25">
      <c r="A25" s="36" t="n"/>
      <c r="B25" s="36" t="inlineStr">
        <is>
          <t>Action</t>
        </is>
      </c>
      <c r="C25" s="36" t="inlineStr">
        <is>
          <t>Medium</t>
        </is>
      </c>
      <c r="D25" s="36" t="inlineStr">
        <is>
          <t>Medium</t>
        </is>
      </c>
      <c r="E25" s="36" t="n"/>
      <c r="F25" s="36" t="n"/>
      <c r="G25" s="12" t="n"/>
      <c r="H25" s="36" t="inlineStr">
        <is>
          <t>Open</t>
        </is>
      </c>
      <c r="I25" s="36" t="n"/>
    </row>
    <row r="26">
      <c r="A26" s="36" t="n"/>
      <c r="B26" s="36" t="inlineStr">
        <is>
          <t>Action</t>
        </is>
      </c>
      <c r="C26" s="36" t="inlineStr">
        <is>
          <t>Medium</t>
        </is>
      </c>
      <c r="D26" s="36" t="inlineStr">
        <is>
          <t>Medium</t>
        </is>
      </c>
      <c r="E26" s="36" t="n"/>
      <c r="F26" s="36" t="n"/>
      <c r="G26" s="12" t="n"/>
      <c r="H26" s="36" t="inlineStr">
        <is>
          <t>Open</t>
        </is>
      </c>
      <c r="I26" s="36" t="n"/>
    </row>
    <row r="27">
      <c r="A27" s="36" t="n"/>
      <c r="B27" s="36" t="inlineStr">
        <is>
          <t>Action</t>
        </is>
      </c>
      <c r="C27" s="36" t="inlineStr">
        <is>
          <t>Medium</t>
        </is>
      </c>
      <c r="D27" s="36" t="inlineStr">
        <is>
          <t>Medium</t>
        </is>
      </c>
      <c r="E27" s="36" t="n"/>
      <c r="F27" s="36" t="n"/>
      <c r="G27" s="12" t="n"/>
      <c r="H27" s="36" t="inlineStr">
        <is>
          <t>Open</t>
        </is>
      </c>
      <c r="I27" s="36" t="n"/>
    </row>
    <row r="28">
      <c r="A28" s="36" t="n"/>
      <c r="B28" s="36" t="inlineStr">
        <is>
          <t>Action</t>
        </is>
      </c>
      <c r="C28" s="36" t="inlineStr">
        <is>
          <t>Medium</t>
        </is>
      </c>
      <c r="D28" s="36" t="inlineStr">
        <is>
          <t>Medium</t>
        </is>
      </c>
      <c r="E28" s="36" t="n"/>
      <c r="F28" s="36" t="n"/>
      <c r="G28" s="12" t="n"/>
      <c r="H28" s="36" t="inlineStr">
        <is>
          <t>Open</t>
        </is>
      </c>
      <c r="I28" s="36" t="n"/>
    </row>
    <row r="29">
      <c r="A29" s="36" t="n"/>
      <c r="B29" s="36" t="inlineStr">
        <is>
          <t>Action</t>
        </is>
      </c>
      <c r="C29" s="36" t="inlineStr">
        <is>
          <t>Medium</t>
        </is>
      </c>
      <c r="D29" s="36" t="inlineStr">
        <is>
          <t>Medium</t>
        </is>
      </c>
      <c r="E29" s="36" t="n"/>
      <c r="F29" s="36" t="n"/>
      <c r="G29" s="12" t="n"/>
      <c r="H29" s="36" t="inlineStr">
        <is>
          <t>Open</t>
        </is>
      </c>
      <c r="I29" s="36" t="n"/>
    </row>
    <row r="30">
      <c r="A30" s="36" t="n"/>
      <c r="B30" s="36" t="inlineStr">
        <is>
          <t>Action</t>
        </is>
      </c>
      <c r="C30" s="36" t="inlineStr">
        <is>
          <t>Medium</t>
        </is>
      </c>
      <c r="D30" s="36" t="inlineStr">
        <is>
          <t>Medium</t>
        </is>
      </c>
      <c r="E30" s="36" t="n"/>
      <c r="F30" s="36" t="n"/>
      <c r="G30" s="12" t="n"/>
      <c r="H30" s="36" t="inlineStr">
        <is>
          <t>Open</t>
        </is>
      </c>
      <c r="I30" s="36" t="n"/>
    </row>
    <row r="31">
      <c r="A31" s="36" t="n"/>
      <c r="B31" s="36" t="inlineStr">
        <is>
          <t>Action</t>
        </is>
      </c>
      <c r="C31" s="36" t="inlineStr">
        <is>
          <t>Medium</t>
        </is>
      </c>
      <c r="D31" s="36" t="inlineStr">
        <is>
          <t>Medium</t>
        </is>
      </c>
      <c r="E31" s="36" t="n"/>
      <c r="F31" s="36" t="n"/>
      <c r="G31" s="12" t="n"/>
      <c r="H31" s="36" t="inlineStr">
        <is>
          <t>Open</t>
        </is>
      </c>
      <c r="I31" s="36" t="n"/>
    </row>
    <row r="32">
      <c r="A32" s="36" t="n"/>
      <c r="B32" s="36" t="inlineStr">
        <is>
          <t>Action</t>
        </is>
      </c>
      <c r="C32" s="36" t="inlineStr">
        <is>
          <t>Medium</t>
        </is>
      </c>
      <c r="D32" s="36" t="inlineStr">
        <is>
          <t>Medium</t>
        </is>
      </c>
      <c r="E32" s="36" t="n"/>
      <c r="F32" s="36" t="n"/>
      <c r="G32" s="12" t="n"/>
      <c r="H32" s="36" t="inlineStr">
        <is>
          <t>Open</t>
        </is>
      </c>
      <c r="I32" s="36" t="n"/>
    </row>
    <row r="33">
      <c r="A33" s="36" t="n"/>
      <c r="B33" s="36" t="inlineStr">
        <is>
          <t>Action</t>
        </is>
      </c>
      <c r="C33" s="36" t="inlineStr">
        <is>
          <t>Medium</t>
        </is>
      </c>
      <c r="D33" s="36" t="inlineStr">
        <is>
          <t>Medium</t>
        </is>
      </c>
      <c r="E33" s="36" t="n"/>
      <c r="F33" s="36" t="n"/>
      <c r="G33" s="12" t="n"/>
      <c r="H33" s="36" t="inlineStr">
        <is>
          <t>Open</t>
        </is>
      </c>
      <c r="I33" s="36" t="n"/>
    </row>
    <row r="34">
      <c r="A34" s="36" t="n"/>
      <c r="B34" s="36" t="inlineStr">
        <is>
          <t>Action</t>
        </is>
      </c>
      <c r="C34" s="36" t="inlineStr">
        <is>
          <t>Medium</t>
        </is>
      </c>
      <c r="D34" s="36" t="inlineStr">
        <is>
          <t>Medium</t>
        </is>
      </c>
      <c r="E34" s="36" t="n"/>
      <c r="F34" s="36" t="n"/>
      <c r="G34" s="12" t="n"/>
      <c r="H34" s="36" t="inlineStr">
        <is>
          <t>Open</t>
        </is>
      </c>
      <c r="I34" s="36" t="n"/>
    </row>
    <row r="35">
      <c r="A35" s="36" t="n"/>
      <c r="B35" s="36" t="inlineStr">
        <is>
          <t>Action</t>
        </is>
      </c>
      <c r="C35" s="36" t="inlineStr">
        <is>
          <t>Medium</t>
        </is>
      </c>
      <c r="D35" s="36" t="inlineStr">
        <is>
          <t>Medium</t>
        </is>
      </c>
      <c r="E35" s="36" t="n"/>
      <c r="F35" s="36" t="n"/>
      <c r="G35" s="12" t="n"/>
      <c r="H35" s="36" t="inlineStr">
        <is>
          <t>Open</t>
        </is>
      </c>
      <c r="I35" s="36" t="n"/>
    </row>
    <row r="36">
      <c r="A36" s="36" t="n"/>
      <c r="B36" s="36" t="inlineStr">
        <is>
          <t>Action</t>
        </is>
      </c>
      <c r="C36" s="36" t="inlineStr">
        <is>
          <t>Medium</t>
        </is>
      </c>
      <c r="D36" s="36" t="inlineStr">
        <is>
          <t>Medium</t>
        </is>
      </c>
      <c r="E36" s="36" t="n"/>
      <c r="F36" s="36" t="n"/>
      <c r="G36" s="12" t="n"/>
      <c r="H36" s="36" t="inlineStr">
        <is>
          <t>Open</t>
        </is>
      </c>
      <c r="I36" s="36" t="n"/>
    </row>
  </sheetData>
  <mergeCells count="4">
    <mergeCell ref="A15:I15"/>
    <mergeCell ref="A5:D5"/>
    <mergeCell ref="A1:I2"/>
    <mergeCell ref="A3:I3"/>
  </mergeCells>
  <conditionalFormatting sqref="B6">
    <cfRule type="containsText" priority="1" operator="containsText" dxfId="0" text="PASS"/>
  </conditionalFormatting>
  <dataValidations count="3">
    <dataValidation sqref="B17:B36" showDropDown="0" showInputMessage="0" showErrorMessage="0" allowBlank="0" type="list">
      <formula1>"Action,Risk,Dependency"</formula1>
    </dataValidation>
    <dataValidation sqref="C17:D36" showDropDown="0" showInputMessage="0" showErrorMessage="0" allowBlank="0" type="list">
      <formula1>"Low,Medium,High"</formula1>
    </dataValidation>
    <dataValidation sqref="H17:H36" showDropDown="0" showInputMessage="0" showErrorMessage="0" allowBlank="0" type="list">
      <formula1>"Open,In Progress,At Risk,Blocked,Complete,Closed"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David Wright</dc:creator>
  <dcterms:created xsi:type="dcterms:W3CDTF">2026-08-19T10:10:31Z</dcterms:created>
  <dcterms:modified xsi:type="dcterms:W3CDTF">2026-09-05T14:41:24Z</dcterms:modified>
  <cp:lastModifiedBy>David Wright</cp:lastModifiedBy>
</cp:coreProperties>
</file>