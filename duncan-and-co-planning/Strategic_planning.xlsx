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1725" windowWidth="29040" windowHeight="15720" tabRatio="600" firstSheet="0" activeTab="6" autoFilterDateGrouping="1"/>
  </bookViews>
  <sheets>
    <sheet name="Business Overview" sheetId="1" state="visible" r:id="rId1"/>
    <sheet name="Executive Summary" sheetId="2" state="visible" r:id="rId2"/>
    <sheet name="Financial Plan" sheetId="3" state="visible" r:id="rId3"/>
    <sheet name="Monthly Costs" sheetId="4" state="visible" r:id="rId4"/>
    <sheet name="Quarterly Planner" sheetId="5" state="visible" r:id="rId5"/>
    <sheet name="Strategy Plan" sheetId="6" state="visible" r:id="rId6"/>
    <sheet name="KPI Tracker" sheetId="7" state="visible" r:id="rId7"/>
    <sheet name="Risks &amp; Action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£&quot;#,##0"/>
    <numFmt numFmtId="165" formatCode="dd\-mmm\-yyyy"/>
    <numFmt numFmtId="166" formatCode="0.0%"/>
    <numFmt numFmtId="167" formatCode="dd-mmm-yyyy"/>
    <numFmt numFmtId="168" formatCode="&quot;£&quot;#,##0.00"/>
  </numFmts>
  <fonts count="15">
    <font>
      <name val="Carlito"/>
      <sz val="11"/>
    </font>
    <font>
      <name val="Carlito"/>
      <b val="1"/>
      <color rgb="FFFFFFFF"/>
      <sz val="11"/>
    </font>
    <font>
      <name val="Carlito"/>
      <i val="1"/>
      <color rgb="FF5B6573"/>
      <sz val="11"/>
    </font>
    <font>
      <name val="Carlito"/>
      <color rgb="FF0070C0"/>
      <sz val="11"/>
    </font>
    <font>
      <name val="Carlito"/>
      <color rgb="FF1F2937"/>
      <sz val="11"/>
    </font>
    <font>
      <name val="Carlito"/>
      <b val="1"/>
      <color rgb="FF00205B"/>
      <sz val="11"/>
    </font>
    <font>
      <name val="Carlito"/>
      <b val="1"/>
      <color rgb="FF5B6573"/>
      <sz val="11"/>
    </font>
    <font>
      <name val="Aptos"/>
      <b val="1"/>
      <color rgb="FF37352F"/>
      <sz val="11"/>
    </font>
    <font>
      <name val="Aptos"/>
      <color rgb="FF37352F"/>
      <sz val="11"/>
    </font>
    <font>
      <name val="Carlito"/>
      <color rgb="000070C0"/>
      <sz val="11"/>
    </font>
    <font>
      <name val="Carlito"/>
      <color rgb="001F2937"/>
      <sz val="11"/>
    </font>
    <font>
      <name val="Carlito"/>
      <b val="1"/>
      <color rgb="00FFFFFF"/>
      <sz val="16"/>
    </font>
    <font>
      <name val="Carlito"/>
      <color rgb="005B6573"/>
      <sz val="11"/>
    </font>
    <font>
      <name val="Carlito"/>
      <b val="1"/>
      <color rgb="00FFFFFF"/>
      <sz val="11"/>
    </font>
    <font>
      <name val="Carlito"/>
      <b val="1"/>
      <color rgb="0000205B"/>
      <sz val="11"/>
    </font>
  </fonts>
  <fills count="19">
    <fill>
      <patternFill/>
    </fill>
    <fill>
      <patternFill patternType="gray125"/>
    </fill>
    <fill>
      <patternFill patternType="solid">
        <fgColor rgb="FF00205B"/>
      </patternFill>
    </fill>
    <fill>
      <patternFill patternType="solid">
        <fgColor rgb="FFEAF2F8"/>
      </patternFill>
    </fill>
    <fill>
      <patternFill patternType="solid">
        <fgColor rgb="FF287FA1"/>
      </patternFill>
    </fill>
    <fill>
      <patternFill patternType="solid">
        <fgColor rgb="FFFFF4CC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7F6F3"/>
      </patternFill>
    </fill>
    <fill>
      <patternFill patternType="solid">
        <fgColor rgb="FFEEF5FB"/>
      </patternFill>
    </fill>
    <fill>
      <patternFill patternType="solid">
        <fgColor rgb="FFF1F8F2"/>
      </patternFill>
    </fill>
    <fill>
      <patternFill patternType="solid">
        <fgColor rgb="FFF7F1FA"/>
      </patternFill>
    </fill>
    <fill>
      <patternFill patternType="solid">
        <fgColor rgb="00FFF4CC"/>
      </patternFill>
    </fill>
    <fill>
      <patternFill patternType="solid">
        <fgColor rgb="00FFFFFF"/>
      </patternFill>
    </fill>
    <fill>
      <patternFill patternType="solid">
        <fgColor rgb="00EAF2F8"/>
      </patternFill>
    </fill>
    <fill>
      <patternFill patternType="solid">
        <fgColor rgb="0000205B"/>
      </patternFill>
    </fill>
    <fill>
      <patternFill patternType="solid">
        <fgColor rgb="00287FA1"/>
      </patternFill>
    </fill>
    <fill>
      <patternFill patternType="solid">
        <fgColor rgb="00F2F2F2"/>
      </patternFill>
    </fill>
    <fill>
      <patternFill patternType="solid">
        <fgColor rgb="00FFF4CC"/>
        <bgColor rgb="00FFF4CC"/>
      </patternFill>
    </fill>
  </fills>
  <borders count="22">
    <border>
      <left/>
      <right/>
      <top/>
      <bottom/>
      <diagonal/>
    </border>
    <border>
      <left style="thin">
        <color rgb="FFC9D5DC"/>
      </left>
      <right style="thin">
        <color rgb="FFC9D5DC"/>
      </right>
      <top style="thin">
        <color rgb="FFC9D5DC"/>
      </top>
      <bottom style="thin">
        <color rgb="FFC9D5DC"/>
      </bottom>
      <diagonal/>
    </border>
    <border>
      <left style="medium">
        <color rgb="FF287FA1"/>
      </left>
      <right/>
      <top style="medium">
        <color rgb="FF287FA1"/>
      </top>
      <bottom/>
      <diagonal/>
    </border>
    <border>
      <left/>
      <right/>
      <top style="medium">
        <color rgb="FF287FA1"/>
      </top>
      <bottom/>
      <diagonal/>
    </border>
    <border>
      <left/>
      <right style="medium">
        <color rgb="FF287FA1"/>
      </right>
      <top style="medium">
        <color rgb="FF287FA1"/>
      </top>
      <bottom/>
      <diagonal/>
    </border>
    <border>
      <left style="medium">
        <color rgb="FF287FA1"/>
      </left>
      <right/>
      <top/>
      <bottom style="medium">
        <color rgb="FF287FA1"/>
      </bottom>
      <diagonal/>
    </border>
    <border>
      <left/>
      <right/>
      <top/>
      <bottom style="medium">
        <color rgb="FF287FA1"/>
      </bottom>
      <diagonal/>
    </border>
    <border>
      <left/>
      <right style="medium">
        <color rgb="FF287FA1"/>
      </right>
      <top/>
      <bottom style="medium">
        <color rgb="FF287FA1"/>
      </bottom>
      <diagonal/>
    </border>
    <border>
      <left style="thin">
        <color rgb="FFE1DDD6"/>
      </left>
      <right style="thin">
        <color rgb="FFE1DDD6"/>
      </right>
      <top style="thin">
        <color rgb="FFE1DDD6"/>
      </top>
      <bottom style="thin">
        <color rgb="FFE1DDD6"/>
      </bottom>
      <diagonal/>
    </border>
    <border>
      <left/>
      <right/>
      <top style="thin">
        <color rgb="FFC9D5DC"/>
      </top>
      <bottom/>
      <diagonal/>
    </border>
    <border>
      <left/>
      <right style="thin">
        <color rgb="FFC9D5DC"/>
      </right>
      <top style="thin">
        <color rgb="FFC9D5DC"/>
      </top>
      <bottom/>
      <diagonal/>
    </border>
    <border>
      <left/>
      <right/>
      <top style="thin">
        <color rgb="FFC9D5DC"/>
      </top>
      <bottom style="thin">
        <color rgb="FFC9D5DC"/>
      </bottom>
      <diagonal/>
    </border>
    <border>
      <left/>
      <right style="thin">
        <color rgb="FFC9D5DC"/>
      </right>
      <top style="thin">
        <color rgb="FFC9D5DC"/>
      </top>
      <bottom style="thin">
        <color rgb="FFC9D5DC"/>
      </bottom>
      <diagonal/>
    </border>
    <border>
      <left style="medium">
        <color rgb="FF287FA1"/>
      </left>
      <right style="medium">
        <color rgb="FF287FA1"/>
      </right>
      <top style="medium">
        <color rgb="FF287FA1"/>
      </top>
      <bottom style="medium">
        <color rgb="FF287FA1"/>
      </bottom>
      <diagonal/>
    </border>
    <border>
      <left style="medium">
        <color rgb="FF287FA1"/>
      </left>
      <right/>
      <top/>
      <bottom/>
      <diagonal/>
    </border>
    <border>
      <left/>
      <right style="medium">
        <color rgb="FF287FA1"/>
      </right>
      <top/>
      <bottom/>
      <diagonal/>
    </border>
    <border>
      <left style="thin">
        <color rgb="00C9D5DC"/>
      </left>
      <right style="thin">
        <color rgb="00C9D5DC"/>
      </right>
      <top style="thin">
        <color rgb="00C9D5DC"/>
      </top>
      <bottom style="thin">
        <color rgb="00C9D5DC"/>
      </bottom>
    </border>
    <border>
      <left/>
      <right/>
      <top style="thin">
        <color rgb="00C9D5DC"/>
      </top>
      <bottom/>
      <diagonal/>
    </border>
    <border>
      <left/>
      <right style="thin">
        <color rgb="00C9D5DC"/>
      </right>
      <top style="thin">
        <color rgb="00C9D5DC"/>
      </top>
      <bottom/>
      <diagonal/>
    </border>
    <border>
      <left/>
      <right/>
      <top style="thin">
        <color rgb="00C9D5DC"/>
      </top>
      <bottom style="thin">
        <color rgb="00C9D5DC"/>
      </bottom>
      <diagonal/>
    </border>
    <border>
      <left/>
      <right style="thin">
        <color rgb="00C9D5DC"/>
      </right>
      <top style="thin">
        <color rgb="00C9D5DC"/>
      </top>
      <bottom style="thin">
        <color rgb="00C9D5DC"/>
      </bottom>
      <diagonal/>
    </border>
    <border/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164" fontId="3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/>
    </xf>
    <xf numFmtId="164" fontId="4" fillId="6" borderId="1" applyAlignment="1" pivotButton="0" quotePrefix="0" xfId="0">
      <alignment vertical="center"/>
    </xf>
    <xf numFmtId="0" fontId="5" fillId="0" borderId="0" pivotButton="0" quotePrefix="0" xfId="0"/>
    <xf numFmtId="164" fontId="5" fillId="6" borderId="1" applyAlignment="1" pivotButton="0" quotePrefix="0" xfId="0">
      <alignment vertical="center"/>
    </xf>
    <xf numFmtId="0" fontId="0" fillId="0" borderId="1" pivotButton="0" quotePrefix="0" xfId="0"/>
    <xf numFmtId="0" fontId="5" fillId="0" borderId="1" pivotButton="0" quotePrefix="0" xfId="0"/>
    <xf numFmtId="164" fontId="0" fillId="0" borderId="1" pivotButton="0" quotePrefix="0" xfId="0"/>
    <xf numFmtId="164" fontId="5" fillId="0" borderId="1" pivotButton="0" quotePrefix="0" xfId="0"/>
    <xf numFmtId="165" fontId="3" fillId="5" borderId="1" applyAlignment="1" pivotButton="0" quotePrefix="0" xfId="0">
      <alignment vertical="center" wrapText="1"/>
    </xf>
    <xf numFmtId="0" fontId="5" fillId="3" borderId="1" pivotButton="0" quotePrefix="0" xfId="0"/>
    <xf numFmtId="166" fontId="3" fillId="5" borderId="1" applyAlignment="1" pivotButton="0" quotePrefix="0" xfId="0">
      <alignment vertical="center" wrapText="1"/>
    </xf>
    <xf numFmtId="0" fontId="8" fillId="8" borderId="8" applyAlignment="1" pivotButton="0" quotePrefix="0" xfId="0">
      <alignment vertical="top" wrapText="1"/>
    </xf>
    <xf numFmtId="0" fontId="7" fillId="8" borderId="8" applyAlignment="1" pivotButton="0" quotePrefix="0" xfId="0">
      <alignment vertical="top" wrapText="1"/>
    </xf>
    <xf numFmtId="0" fontId="8" fillId="9" borderId="8" applyAlignment="1" pivotButton="0" quotePrefix="0" xfId="0">
      <alignment vertical="top" wrapText="1"/>
    </xf>
    <xf numFmtId="0" fontId="7" fillId="9" borderId="8" applyAlignment="1" pivotButton="0" quotePrefix="0" xfId="0">
      <alignment vertical="top" wrapText="1"/>
    </xf>
    <xf numFmtId="0" fontId="8" fillId="10" borderId="8" applyAlignment="1" pivotButton="0" quotePrefix="0" xfId="0">
      <alignment vertical="top" wrapText="1"/>
    </xf>
    <xf numFmtId="0" fontId="7" fillId="10" borderId="8" applyAlignment="1" pivotButton="0" quotePrefix="0" xfId="0">
      <alignment vertical="top" wrapText="1"/>
    </xf>
    <xf numFmtId="0" fontId="8" fillId="11" borderId="8" applyAlignment="1" pivotButton="0" quotePrefix="0" xfId="0">
      <alignment vertical="top" wrapText="1"/>
    </xf>
    <xf numFmtId="0" fontId="7" fillId="11" borderId="8" applyAlignment="1" pivotButton="0" quotePrefix="0" xfId="0">
      <alignment vertical="top" wrapText="1"/>
    </xf>
    <xf numFmtId="0" fontId="5" fillId="3" borderId="1" applyAlignment="1" pivotButton="0" quotePrefix="0" xfId="0">
      <alignment wrapText="1"/>
    </xf>
    <xf numFmtId="0" fontId="5" fillId="6" borderId="1" applyAlignment="1" pivotButton="0" quotePrefix="0" xfId="0">
      <alignment vertical="center"/>
    </xf>
    <xf numFmtId="166" fontId="5" fillId="6" borderId="1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164" fontId="5" fillId="7" borderId="2" applyAlignment="1" pivotButton="0" quotePrefix="0" xfId="0">
      <alignment horizontal="center" vertical="center"/>
    </xf>
    <xf numFmtId="164" fontId="5" fillId="7" borderId="3" applyAlignment="1" pivotButton="0" quotePrefix="0" xfId="0">
      <alignment horizontal="center" vertical="center"/>
    </xf>
    <xf numFmtId="164" fontId="5" fillId="7" borderId="4" applyAlignment="1" pivotButton="0" quotePrefix="0" xfId="0">
      <alignment horizontal="center" vertical="center"/>
    </xf>
    <xf numFmtId="164" fontId="5" fillId="7" borderId="5" applyAlignment="1" pivotButton="0" quotePrefix="0" xfId="0">
      <alignment horizontal="center" vertical="center"/>
    </xf>
    <xf numFmtId="164" fontId="5" fillId="7" borderId="6" applyAlignment="1" pivotButton="0" quotePrefix="0" xfId="0">
      <alignment horizontal="center" vertical="center"/>
    </xf>
    <xf numFmtId="164" fontId="5" fillId="7" borderId="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1" fillId="4" borderId="0" applyAlignment="1" pivotButton="0" quotePrefix="0" xfId="0">
      <alignment vertical="center"/>
    </xf>
    <xf numFmtId="0" fontId="3" fillId="5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0" fillId="0" borderId="11" pivotButton="0" quotePrefix="0" xfId="0"/>
    <xf numFmtId="0" fontId="0" fillId="0" borderId="12" pivotButton="0" quotePrefix="0" xfId="0"/>
    <xf numFmtId="164" fontId="5" fillId="7" borderId="1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11" fillId="2" borderId="0" applyAlignment="1" pivotButton="0" quotePrefix="0" xfId="0">
      <alignment vertical="center"/>
    </xf>
    <xf numFmtId="0" fontId="9" fillId="12" borderId="16" applyAlignment="1" pivotButton="0" quotePrefix="0" xfId="0">
      <alignment vertical="center" wrapText="1"/>
    </xf>
    <xf numFmtId="0" fontId="9" fillId="12" borderId="16" applyAlignment="1" pivotButton="0" quotePrefix="0" xfId="0">
      <alignment horizontal="center" vertical="center" wrapText="1"/>
    </xf>
    <xf numFmtId="166" fontId="9" fillId="12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167" fontId="9" fillId="12" borderId="16" applyAlignment="1" pivotButton="0" quotePrefix="0" xfId="0">
      <alignment vertical="center" wrapText="1"/>
    </xf>
    <xf numFmtId="164" fontId="9" fillId="12" borderId="16" applyAlignment="1" pivotButton="0" quotePrefix="0" xfId="0">
      <alignment vertical="center" wrapText="1"/>
    </xf>
    <xf numFmtId="0" fontId="10" fillId="14" borderId="16" applyAlignment="1" pivotButton="0" quotePrefix="0" xfId="0">
      <alignment vertical="center" wrapText="1"/>
    </xf>
    <xf numFmtId="0" fontId="11" fillId="15" borderId="0" applyAlignment="1" pivotButton="0" quotePrefix="0" xfId="0">
      <alignment horizontal="left" vertical="center"/>
    </xf>
    <xf numFmtId="0" fontId="0" fillId="15" borderId="0" pivotButton="0" quotePrefix="0" xfId="0"/>
    <xf numFmtId="0" fontId="12" fillId="14" borderId="0" applyAlignment="1" pivotButton="0" quotePrefix="0" xfId="0">
      <alignment vertical="center" wrapText="1"/>
    </xf>
    <xf numFmtId="0" fontId="13" fillId="16" borderId="16" applyAlignment="1" pivotButton="0" quotePrefix="0" xfId="0">
      <alignment vertical="center"/>
    </xf>
    <xf numFmtId="0" fontId="0" fillId="16" borderId="16" pivotButton="0" quotePrefix="0" xfId="0"/>
    <xf numFmtId="0" fontId="13" fillId="15" borderId="16" applyAlignment="1" pivotButton="0" quotePrefix="0" xfId="0">
      <alignment horizontal="center" vertical="center" wrapText="1"/>
    </xf>
    <xf numFmtId="0" fontId="14" fillId="14" borderId="16" applyAlignment="1" pivotButton="0" quotePrefix="0" xfId="0">
      <alignment vertical="center" wrapText="1"/>
    </xf>
    <xf numFmtId="168" fontId="9" fillId="12" borderId="16" applyAlignment="1" pivotButton="0" quotePrefix="0" xfId="0">
      <alignment horizontal="center" vertical="center" wrapText="1"/>
    </xf>
    <xf numFmtId="1" fontId="9" fillId="12" borderId="16" applyAlignment="1" pivotButton="0" quotePrefix="0" xfId="0">
      <alignment horizontal="center" vertical="center" wrapText="1"/>
    </xf>
    <xf numFmtId="168" fontId="10" fillId="17" borderId="16" applyAlignment="1" pivotButton="0" quotePrefix="0" xfId="0">
      <alignment vertical="center" wrapText="1"/>
    </xf>
    <xf numFmtId="0" fontId="10" fillId="17" borderId="16" applyAlignment="1" pivotButton="0" quotePrefix="0" xfId="0">
      <alignment vertical="center" wrapText="1"/>
    </xf>
    <xf numFmtId="9" fontId="9" fillId="12" borderId="16" applyAlignment="1" pivotButton="0" quotePrefix="0" xfId="0">
      <alignment horizontal="center" vertical="center" wrapText="1"/>
    </xf>
    <xf numFmtId="10" fontId="9" fillId="12" borderId="16" applyAlignment="1" pivotButton="0" quotePrefix="0" xfId="0">
      <alignment horizontal="center" vertical="center" wrapText="1"/>
    </xf>
    <xf numFmtId="164" fontId="9" fillId="12" borderId="16" applyAlignment="1" pivotButton="0" quotePrefix="0" xfId="0">
      <alignment horizontal="center" vertical="center" wrapText="1"/>
    </xf>
    <xf numFmtId="1" fontId="10" fillId="17" borderId="16" applyAlignment="1" pivotButton="0" quotePrefix="0" xfId="0">
      <alignment vertical="center" wrapText="1"/>
    </xf>
    <xf numFmtId="0" fontId="13" fillId="15" borderId="16" applyAlignment="1" pivotButton="0" quotePrefix="0" xfId="0">
      <alignment vertical="center" wrapText="1"/>
    </xf>
    <xf numFmtId="168" fontId="14" fillId="17" borderId="16" applyAlignment="1" pivotButton="0" quotePrefix="0" xfId="0">
      <alignment vertical="center" wrapText="1"/>
    </xf>
    <xf numFmtId="164" fontId="14" fillId="17" borderId="16" applyAlignment="1" pivotButton="0" quotePrefix="0" xfId="0">
      <alignment vertical="center" wrapText="1"/>
    </xf>
    <xf numFmtId="164" fontId="10" fillId="17" borderId="16" applyAlignment="1" pivotButton="0" quotePrefix="0" xfId="0">
      <alignment vertical="center" wrapText="1"/>
    </xf>
    <xf numFmtId="0" fontId="0" fillId="14" borderId="16" pivotButton="0" quotePrefix="0" xfId="0"/>
    <xf numFmtId="0" fontId="10" fillId="13" borderId="16" applyAlignment="1" pivotButton="0" quotePrefix="0" xfId="0">
      <alignment vertical="center" wrapText="1"/>
    </xf>
    <xf numFmtId="0" fontId="0" fillId="13" borderId="16" pivotButton="0" quotePrefix="0" xfId="0"/>
    <xf numFmtId="0" fontId="11" fillId="15" borderId="21" applyAlignment="1" pivotButton="0" quotePrefix="0" xfId="0">
      <alignment horizontal="left" vertical="center"/>
    </xf>
    <xf numFmtId="0" fontId="12" fillId="14" borderId="21" applyAlignment="1" pivotButton="0" quotePrefix="0" xfId="0">
      <alignment vertical="center" wrapText="1"/>
    </xf>
    <xf numFmtId="0" fontId="0" fillId="0" borderId="21" pivotButton="0" quotePrefix="0" xfId="0"/>
    <xf numFmtId="0" fontId="0" fillId="14" borderId="0" pivotButton="0" quotePrefix="0" xfId="0"/>
    <xf numFmtId="9" fontId="9" fillId="12" borderId="16" applyAlignment="1" pivotButton="0" quotePrefix="0" xfId="0">
      <alignment vertical="center" wrapText="1"/>
    </xf>
    <xf numFmtId="167" fontId="9" fillId="12" borderId="16" applyAlignment="1" pivotButton="0" quotePrefix="0" xfId="0">
      <alignment horizontal="center" vertical="center" wrapText="1"/>
    </xf>
    <xf numFmtId="0" fontId="9" fillId="18" borderId="16" applyAlignment="1" pivotButton="0" quotePrefix="0" xfId="0">
      <alignment vertical="center" wrapText="1"/>
    </xf>
    <xf numFmtId="0" fontId="0" fillId="13" borderId="16" applyAlignment="1" pivotButton="0" quotePrefix="0" xfId="0">
      <alignment vertical="center" wrapText="1"/>
    </xf>
    <xf numFmtId="0" fontId="12" fillId="14" borderId="16" applyAlignment="1" pivotButton="0" quotePrefix="0" xfId="0">
      <alignment vertical="center" wrapText="1"/>
    </xf>
    <xf numFmtId="0" fontId="0" fillId="12" borderId="16" pivotButton="0" quotePrefix="0" xfId="0"/>
    <xf numFmtId="166" fontId="9" fillId="12" borderId="16" applyAlignment="1" pivotButton="0" quotePrefix="0" xfId="0">
      <alignment vertical="center" wrapText="1"/>
    </xf>
    <xf numFmtId="166" fontId="0" fillId="13" borderId="16" applyAlignment="1" pivotButton="0" quotePrefix="0" xfId="0">
      <alignment vertical="center" wrapText="1"/>
    </xf>
    <xf numFmtId="164" fontId="9" fillId="12" borderId="1" applyAlignment="1" pivotButton="0" quotePrefix="0" xfId="0">
      <alignment vertical="center" wrapText="1"/>
    </xf>
    <xf numFmtId="164" fontId="10" fillId="17" borderId="1" applyAlignment="1" pivotButton="0" quotePrefix="0" xfId="0">
      <alignment vertical="center" wrapText="1"/>
    </xf>
    <xf numFmtId="0" fontId="13" fillId="16" borderId="16" applyAlignment="1" pivotButton="0" quotePrefix="0" xfId="0">
      <alignment vertical="center" wrapText="1"/>
    </xf>
    <xf numFmtId="0" fontId="0" fillId="15" borderId="16" pivotButton="0" quotePrefix="0" xfId="0"/>
  </cellXfs>
  <cellStyles count="1">
    <cellStyle name="Normal" xfId="0" builtinId="0"/>
  </cellStyles>
  <dxfs count="4">
    <dxf>
      <font>
        <b val="1"/>
        <color rgb="FF215E21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4CCCC"/>
        </patternFill>
      </fill>
    </dxf>
    <dxf>
      <font>
        <b val="1"/>
        <color rgb="FF9C0006"/>
      </font>
      <fill>
        <patternFill patternType="solid">
          <bgColor rgb="FFF4CCCC"/>
        </patternFill>
      </fill>
    </dxf>
    <dxf>
      <font>
        <b val="1"/>
        <color rgb="FF215E21"/>
      </font>
      <fill>
        <patternFill patternType="solid">
          <bgColor rgb="FFE2F0D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lang="en-GB"/>
              <a:t>Monthly written target by stream (£)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Mortgage</v>
          </tx>
          <spPr>
            <a:ln>
              <a:prstDash val="solid"/>
            </a:ln>
          </spPr>
          <invertIfNegative val="1"/>
          <cat>
            <strRef>
              <f>'Executive Summary'!$A$25:$A$36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'Executive Summary'!$B$25:$B$36</f>
              <numCache>
                <formatCode>"£"#,##0</formatCode>
                <ptCount val="12"/>
                <pt idx="0">
                  <v>1035000</v>
                </pt>
                <pt idx="1">
                  <v>1035000</v>
                </pt>
                <pt idx="2">
                  <v>1035000</v>
                </pt>
                <pt idx="3">
                  <v>1035000</v>
                </pt>
                <pt idx="4">
                  <v>1035000</v>
                </pt>
                <pt idx="5">
                  <v>1035000</v>
                </pt>
                <pt idx="6">
                  <v>1035000</v>
                </pt>
                <pt idx="7">
                  <v>1035000</v>
                </pt>
                <pt idx="8">
                  <v>1035000</v>
                </pt>
                <pt idx="9">
                  <v>1035000</v>
                </pt>
                <pt idx="10">
                  <v>1035000</v>
                </pt>
                <pt idx="11">
                  <v>1035000</v>
                </pt>
              </numCache>
            </numRef>
          </val>
        </ser>
        <ser>
          <idx val="1"/>
          <order val="1"/>
          <tx>
            <v>Protection</v>
          </tx>
          <spPr>
            <a:ln>
              <a:prstDash val="solid"/>
            </a:ln>
          </spPr>
          <invertIfNegative val="1"/>
          <cat>
            <strRef>
              <f>'Executive Summary'!$A$25:$A$36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'Executive Summary'!$C$25:$C$36</f>
              <numCache>
                <formatCode>"£"#,##0</formatCode>
                <ptCount val="12"/>
                <pt idx="0">
                  <v>240000</v>
                </pt>
                <pt idx="1">
                  <v>240000</v>
                </pt>
                <pt idx="2">
                  <v>240000</v>
                </pt>
                <pt idx="3">
                  <v>240000</v>
                </pt>
                <pt idx="4">
                  <v>240000</v>
                </pt>
                <pt idx="5">
                  <v>240000</v>
                </pt>
                <pt idx="6">
                  <v>240000</v>
                </pt>
                <pt idx="7">
                  <v>240000</v>
                </pt>
                <pt idx="8">
                  <v>240000</v>
                </pt>
                <pt idx="9">
                  <v>240000</v>
                </pt>
                <pt idx="10">
                  <v>240000</v>
                </pt>
                <pt idx="11">
                  <v>240000</v>
                </pt>
              </numCache>
            </numRef>
          </val>
        </ser>
        <ser>
          <idx val="2"/>
          <order val="2"/>
          <tx>
            <v>Other Income</v>
          </tx>
          <spPr>
            <a:ln>
              <a:prstDash val="solid"/>
            </a:ln>
          </spPr>
          <invertIfNegative val="1"/>
          <cat>
            <strRef>
              <f>'Executive Summary'!$A$25:$A$36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'Executive Summary'!$D$25:$D$36</f>
              <numCache>
                <formatCode>"£"#,##0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1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&quot;£&quot;#,##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0</colOff>
      <row>7</row>
      <rowOff>0</rowOff>
    </from>
    <to>
      <col>14</col>
      <colOff>0</colOff>
      <row>22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7"/>
  <sheetViews>
    <sheetView showGridLines="0" workbookViewId="0">
      <selection activeCell="A20" sqref="A20"/>
    </sheetView>
  </sheetViews>
  <sheetFormatPr baseColWidth="8" defaultRowHeight="14"/>
  <cols>
    <col width="29" customWidth="1" min="1" max="1"/>
    <col width="24" customWidth="1" min="2" max="6"/>
    <col width="42" customWidth="1" min="6" max="6"/>
    <col width="25" customWidth="1" min="7" max="7"/>
    <col width="30" customWidth="1" min="8" max="8"/>
  </cols>
  <sheetData>
    <row r="1" ht="25" customHeight="1">
      <c r="A1" s="48" t="inlineStr">
        <is>
          <t>Business Overview</t>
        </is>
      </c>
    </row>
    <row r="2" ht="25" customHeight="1"/>
    <row r="3" ht="28" customHeight="1">
      <c r="A3" s="27" t="inlineStr">
        <is>
          <t>Firm, regulatory, team, organisation and lead-source information in one place.</t>
        </is>
      </c>
    </row>
    <row r="5">
      <c r="A5" s="35" t="inlineStr">
        <is>
          <t>Firm and Regulatory Information</t>
        </is>
      </c>
    </row>
    <row r="6" ht="28" customHeight="1">
      <c r="A6" s="13" t="inlineStr">
        <is>
          <t>Firm name</t>
        </is>
      </c>
      <c r="B6" s="49" t="inlineStr">
        <is>
          <t>Duncan &amp; Co Financial</t>
        </is>
      </c>
      <c r="C6" s="52" t="n"/>
      <c r="D6" s="52" t="n"/>
      <c r="E6" s="52" t="n"/>
      <c r="F6" s="52" t="n"/>
      <c r="G6" s="52" t="n"/>
      <c r="H6" s="53" t="n"/>
    </row>
    <row r="7" ht="36" customHeight="1">
      <c r="A7" s="13" t="inlineStr">
        <is>
          <t>Previous firm / network</t>
        </is>
      </c>
      <c r="B7" s="85" t="inlineStr">
        <is>
          <t>Rettie Financial Services (5 years, FRN 969595); previously Simpson &amp; Marwick, then one year in Aberdeen</t>
        </is>
      </c>
      <c r="C7" s="52" t="n"/>
      <c r="D7" s="52" t="n"/>
      <c r="E7" s="52" t="n"/>
      <c r="F7" s="52" t="n"/>
      <c r="G7" s="52" t="n"/>
      <c r="H7" s="53" t="n"/>
    </row>
    <row r="8" ht="48" customHeight="1">
      <c r="A8" s="13" t="inlineStr">
        <is>
          <t>Business address</t>
        </is>
      </c>
      <c r="B8" s="85" t="inlineStr">
        <is>
          <t>88 Bonaly Grove, Edinburgh, EH13 0QB</t>
        </is>
      </c>
      <c r="C8" s="52" t="n"/>
      <c r="D8" s="52" t="n"/>
      <c r="E8" s="52" t="n"/>
      <c r="F8" s="52" t="n"/>
      <c r="G8" s="52" t="n"/>
      <c r="H8" s="53" t="n"/>
    </row>
    <row r="9" ht="36" customHeight="1">
      <c r="A9" s="13" t="inlineStr">
        <is>
          <t>FCA number</t>
        </is>
      </c>
      <c r="B9" s="85" t="inlineStr">
        <is>
          <t>TBC — Duncan &amp; Co not yet set up (Rettie Financial Services was FRN 969595)</t>
        </is>
      </c>
      <c r="C9" s="52" t="n"/>
      <c r="D9" s="52" t="n"/>
      <c r="E9" s="52" t="n"/>
      <c r="F9" s="52" t="n"/>
      <c r="G9" s="52" t="n"/>
      <c r="H9" s="53" t="n"/>
    </row>
    <row r="10" ht="36" customHeight="1">
      <c r="A10" s="13" t="inlineStr">
        <is>
          <t>MAB FCA number</t>
        </is>
      </c>
      <c r="B10" s="85" t="inlineStr">
        <is>
          <t>TBC / don't know</t>
        </is>
      </c>
      <c r="C10" s="52" t="n"/>
      <c r="D10" s="52" t="n"/>
      <c r="E10" s="52" t="n"/>
      <c r="F10" s="52" t="n"/>
      <c r="G10" s="52" t="n"/>
      <c r="H10" s="53" t="n"/>
    </row>
    <row r="11" ht="22" customHeight="1">
      <c r="A11" s="13" t="inlineStr">
        <is>
          <t>L&amp;G master agency number</t>
        </is>
      </c>
      <c r="B11" s="85" t="inlineStr">
        <is>
          <t>N/A — don't have one</t>
        </is>
      </c>
      <c r="C11" s="52" t="n"/>
      <c r="D11" s="52" t="n"/>
      <c r="E11" s="52" t="n"/>
      <c r="F11" s="52" t="n"/>
      <c r="G11" s="52" t="n"/>
      <c r="H11" s="53" t="n"/>
    </row>
    <row r="12" ht="22" customHeight="1">
      <c r="A12" s="13" t="inlineStr">
        <is>
          <t>MAB agency number</t>
        </is>
      </c>
      <c r="B12" s="85" t="inlineStr">
        <is>
          <t>N/A — don't have one</t>
        </is>
      </c>
      <c r="C12" s="52" t="n"/>
      <c r="D12" s="52" t="n"/>
      <c r="E12" s="52" t="n"/>
      <c r="F12" s="52" t="n"/>
      <c r="G12" s="52" t="n"/>
      <c r="H12" s="53" t="n"/>
    </row>
    <row r="13" ht="28" customHeight="1">
      <c r="A13" s="13" t="inlineStr">
        <is>
          <t>Pipeline novated?</t>
        </is>
      </c>
      <c r="B13" s="85" t="inlineStr">
        <is>
          <t>No — none novated (pipeline issues)</t>
        </is>
      </c>
      <c r="C13" s="52" t="n"/>
      <c r="D13" s="52" t="n"/>
      <c r="E13" s="52" t="n"/>
      <c r="F13" s="52" t="n"/>
      <c r="G13" s="52" t="n"/>
      <c r="H13" s="53" t="n"/>
    </row>
    <row r="14" ht="48" customHeight="1">
      <c r="A14" s="13" t="inlineStr">
        <is>
          <t>Fee structure</t>
        </is>
      </c>
      <c r="B14" s="85" t="inlineStr">
        <is>
          <t>Standard purchase &amp; remortgage: £195 on application, £300 on offer. Debt consolidation / adverse: £495 on application, £500 on offer. International: £495 on application, £1,000 on offer.</t>
        </is>
      </c>
      <c r="C14" s="52" t="n"/>
      <c r="D14" s="52" t="n"/>
      <c r="E14" s="52" t="n"/>
      <c r="F14" s="52" t="n"/>
      <c r="G14" s="52" t="n"/>
      <c r="H14" s="53" t="n"/>
    </row>
    <row r="15" ht="36" customHeight="1">
      <c r="A15" s="13" t="inlineStr">
        <is>
          <t>Specialist licences required</t>
        </is>
      </c>
      <c r="B15" s="85" t="inlineStr">
        <is>
          <t>Mortgage and protection; bridging; buy-to-let and commercial (B&amp;C)</t>
        </is>
      </c>
      <c r="C15" s="52" t="n"/>
      <c r="D15" s="52" t="n"/>
      <c r="E15" s="52" t="n"/>
      <c r="F15" s="52" t="n"/>
      <c r="G15" s="52" t="n"/>
      <c r="H15" s="53" t="n"/>
    </row>
    <row r="18">
      <c r="A18" s="35" t="inlineStr">
        <is>
          <t>Team and Organisation</t>
        </is>
      </c>
    </row>
    <row r="19">
      <c r="A19" s="37" t="inlineStr">
        <is>
          <t>Name</t>
        </is>
      </c>
      <c r="B19" s="37" t="inlineStr">
        <is>
          <t>Role</t>
        </is>
      </c>
      <c r="C19" s="37" t="inlineStr">
        <is>
          <t>Director / Key Individual</t>
        </is>
      </c>
      <c r="D19" s="37" t="inlineStr">
        <is>
          <t>Employed / SE</t>
        </is>
      </c>
      <c r="E19" s="37" t="inlineStr">
        <is>
          <t>Location</t>
        </is>
      </c>
      <c r="F19" s="37" t="inlineStr">
        <is>
          <t>Licences</t>
        </is>
      </c>
      <c r="G19" s="37" t="inlineStr">
        <is>
          <t>Admin / Case Manager</t>
        </is>
      </c>
      <c r="H19" s="37" t="inlineStr">
        <is>
          <t>GI Specialist</t>
        </is>
      </c>
    </row>
    <row r="20" ht="32" customHeight="1">
      <c r="A20" s="49" t="inlineStr">
        <is>
          <t>Robert Duncan</t>
        </is>
      </c>
      <c r="B20" s="49" t="inlineStr">
        <is>
          <t>Director / Mortgage &amp; Protection Adviser</t>
        </is>
      </c>
      <c r="C20" s="49" t="inlineStr">
        <is>
          <t>Yes</t>
        </is>
      </c>
      <c r="D20" s="49" t="inlineStr">
        <is>
          <t>Self-employed</t>
        </is>
      </c>
      <c r="E20" s="49" t="inlineStr">
        <is>
          <t>Edinburgh</t>
        </is>
      </c>
      <c r="F20" s="49" t="inlineStr">
        <is>
          <t>Mortgage, protection, bridging, BTL &amp; commercial</t>
        </is>
      </c>
      <c r="G20" s="49" t="inlineStr">
        <is>
          <t>No (self at launch)</t>
        </is>
      </c>
      <c r="H20" s="49" t="inlineStr">
        <is>
          <t>No</t>
        </is>
      </c>
    </row>
    <row r="21" ht="32" customHeight="1">
      <c r="A21" s="86" t="n"/>
      <c r="B21" s="86" t="n"/>
      <c r="C21" s="86" t="n"/>
      <c r="D21" s="86" t="n"/>
      <c r="E21" s="86" t="n"/>
      <c r="F21" s="86" t="n"/>
      <c r="G21" s="86" t="n"/>
      <c r="H21" s="86" t="n"/>
    </row>
    <row r="22" ht="32" customHeight="1">
      <c r="A22" s="86" t="n"/>
      <c r="B22" s="86" t="n"/>
      <c r="C22" s="86" t="n"/>
      <c r="D22" s="86" t="n"/>
      <c r="E22" s="86" t="n"/>
      <c r="F22" s="86" t="n"/>
      <c r="G22" s="86" t="n"/>
      <c r="H22" s="86" t="n"/>
    </row>
    <row r="23" ht="18" customHeight="1">
      <c r="A23" s="36" t="n"/>
      <c r="B23" s="36" t="n"/>
      <c r="C23" s="36" t="n"/>
      <c r="D23" s="36" t="n"/>
      <c r="E23" s="36" t="n"/>
      <c r="F23" s="36" t="n"/>
      <c r="G23" s="36" t="n"/>
      <c r="H23" s="36" t="n"/>
    </row>
    <row r="24" ht="22" customHeight="1">
      <c r="A24" s="60" t="inlineStr">
        <is>
          <t>Lead-out and commercial split</t>
        </is>
      </c>
      <c r="B24" s="52" t="n"/>
      <c r="C24" s="52" t="n"/>
      <c r="D24" s="52" t="n"/>
      <c r="E24" s="52" t="n"/>
      <c r="F24" s="52" t="n"/>
      <c r="G24" s="52" t="n"/>
      <c r="H24" s="53" t="n"/>
    </row>
    <row r="25" ht="36" customHeight="1">
      <c r="A25" s="87" t="inlineStr">
        <is>
          <t>Duncan &amp; Co can pass leads out to specialist advisers (bridging, commercial, BTL, overflow or other work the firm does not keep) for an agreed commercial split.</t>
        </is>
      </c>
      <c r="B25" s="52" t="n"/>
      <c r="C25" s="52" t="n"/>
      <c r="D25" s="52" t="n"/>
      <c r="E25" s="52" t="n"/>
      <c r="F25" s="52" t="n"/>
      <c r="G25" s="52" t="n"/>
      <c r="H25" s="53" t="n"/>
    </row>
    <row r="26" ht="28" customHeight="1">
      <c r="A26" s="63" t="inlineStr">
        <is>
          <t>Split terms</t>
        </is>
      </c>
      <c r="B26" s="49" t="inlineStr">
        <is>
          <t>50/50 split. The customer remains a Duncan &amp; Co Financial customer.</t>
        </is>
      </c>
      <c r="C26" s="52" t="n"/>
      <c r="D26" s="52" t="n"/>
      <c r="E26" s="52" t="n"/>
      <c r="F26" s="52" t="n"/>
      <c r="G26" s="52" t="n"/>
      <c r="H26" s="53" t="n"/>
    </row>
    <row r="27" ht="18" customHeight="1">
      <c r="A27" s="36" t="n"/>
      <c r="B27" s="36" t="n"/>
      <c r="C27" s="36" t="n"/>
      <c r="D27" s="36" t="n"/>
      <c r="E27" s="36" t="n"/>
      <c r="F27" s="36" t="n"/>
      <c r="G27" s="36" t="n"/>
      <c r="H27" s="36" t="n"/>
    </row>
    <row r="28" ht="18" customHeight="1">
      <c r="A28" s="36" t="n"/>
      <c r="B28" s="36" t="n"/>
      <c r="C28" s="36" t="n"/>
      <c r="D28" s="36" t="n"/>
      <c r="E28" s="36" t="n"/>
      <c r="F28" s="36" t="n"/>
      <c r="G28" s="36" t="n"/>
      <c r="H28" s="36" t="n"/>
    </row>
    <row r="29" ht="18" customHeight="1">
      <c r="A29" s="36" t="n"/>
      <c r="B29" s="36" t="n"/>
      <c r="C29" s="36" t="n"/>
      <c r="D29" s="36" t="n"/>
      <c r="E29" s="36" t="n"/>
      <c r="F29" s="36" t="n"/>
      <c r="G29" s="36" t="n"/>
      <c r="H29" s="36" t="n"/>
    </row>
    <row r="30" ht="18" customHeight="1">
      <c r="A30" s="36" t="n"/>
      <c r="B30" s="36" t="n"/>
      <c r="C30" s="36" t="n"/>
      <c r="D30" s="36" t="n"/>
      <c r="E30" s="36" t="n"/>
      <c r="F30" s="36" t="n"/>
      <c r="G30" s="36" t="n"/>
      <c r="H30" s="36" t="n"/>
    </row>
    <row r="31" ht="18" customHeight="1">
      <c r="A31" s="36" t="n"/>
      <c r="B31" s="36" t="n"/>
      <c r="C31" s="36" t="n"/>
      <c r="D31" s="36" t="n"/>
      <c r="E31" s="36" t="n"/>
      <c r="F31" s="36" t="n"/>
      <c r="G31" s="36" t="n"/>
      <c r="H31" s="36" t="n"/>
    </row>
    <row r="34">
      <c r="A34" s="35" t="inlineStr">
        <is>
          <t>Lead Sources</t>
        </is>
      </c>
    </row>
    <row r="35">
      <c r="A35" s="37" t="inlineStr">
        <is>
          <t>Lead Source</t>
        </is>
      </c>
      <c r="B35" s="37" t="inlineStr">
        <is>
          <t>Transfer Method</t>
        </is>
      </c>
      <c r="C35" s="37" t="inlineStr">
        <is>
          <t>Introducer Type</t>
        </is>
      </c>
      <c r="D35" s="37" t="inlineStr">
        <is>
          <t>Monthly Volume</t>
        </is>
      </c>
      <c r="E35" s="37" t="inlineStr">
        <is>
          <t>Close Rate</t>
        </is>
      </c>
      <c r="F35" s="37" t="inlineStr">
        <is>
          <t>Owner / Notes</t>
        </is>
      </c>
    </row>
    <row r="36" ht="36" customHeight="1">
      <c r="A36" s="49" t="inlineStr">
        <is>
          <t>DJ Alexander</t>
        </is>
      </c>
      <c r="B36" s="49" t="inlineStr">
        <is>
          <t>Email introduction (Edinburgh &amp; Lothians)</t>
        </is>
      </c>
      <c r="C36" s="49" t="inlineStr">
        <is>
          <t>Estate agent</t>
        </is>
      </c>
      <c r="D36" s="49" t="inlineStr">
        <is>
          <t>5–7 leads a month</t>
        </is>
      </c>
      <c r="E36" s="89" t="inlineStr">
        <is>
          <t>1 in 3 conversion</t>
        </is>
      </c>
      <c r="F36" s="49" t="inlineStr">
        <is>
          <t>David Alexander</t>
        </is>
      </c>
    </row>
    <row r="37" ht="36" customHeight="1">
      <c r="A37" s="49" t="inlineStr">
        <is>
          <t>Thorntons Solicitors</t>
        </is>
      </c>
      <c r="B37" s="49" t="inlineStr">
        <is>
          <t>Email introduction (Edinburgh &amp; Lothians)</t>
        </is>
      </c>
      <c r="C37" s="49" t="inlineStr">
        <is>
          <t>Solicitor</t>
        </is>
      </c>
      <c r="D37" s="49" t="inlineStr">
        <is>
          <t>3–7 leads a month</t>
        </is>
      </c>
      <c r="E37" s="89" t="inlineStr">
        <is>
          <t>1 in 3 conversion</t>
        </is>
      </c>
      <c r="F37" s="49" t="inlineStr">
        <is>
          <t>Hannah Fraser</t>
        </is>
      </c>
    </row>
    <row r="38" ht="36" customHeight="1">
      <c r="A38" s="49" t="inlineStr">
        <is>
          <t>TBC — system referral process</t>
        </is>
      </c>
      <c r="B38" s="49" t="inlineStr">
        <is>
          <t>System-related referral process</t>
        </is>
      </c>
      <c r="C38" s="49" t="inlineStr">
        <is>
          <t>Estate agent</t>
        </is>
      </c>
      <c r="D38" s="49" t="inlineStr">
        <is>
          <t>10–20 leads a week (estimate)</t>
        </is>
      </c>
      <c r="E38" s="89" t="inlineStr">
        <is>
          <t>1 in 3 conversion</t>
        </is>
      </c>
      <c r="F38" s="49" t="inlineStr">
        <is>
          <t>No notes</t>
        </is>
      </c>
    </row>
    <row r="39" ht="36" customHeight="1">
      <c r="A39" s="49" t="inlineStr">
        <is>
          <t>Planning conversion model</t>
        </is>
      </c>
      <c r="B39" s="49" t="inlineStr">
        <is>
          <t>40 leads → 30 spoken</t>
        </is>
      </c>
      <c r="C39" s="49" t="inlineStr">
        <is>
          <t>All sources combined</t>
        </is>
      </c>
      <c r="D39" s="49" t="inlineStr">
        <is>
          <t>40 leads a month</t>
        </is>
      </c>
      <c r="E39" s="89" t="inlineStr">
        <is>
          <t>1 in 3 of 30 spoken (10 completions)</t>
        </is>
      </c>
      <c r="F39" s="49" t="inlineStr">
        <is>
          <t>Drives Financial Plan written target</t>
        </is>
      </c>
    </row>
    <row r="40" ht="36" customHeight="1">
      <c r="A40" s="86" t="n"/>
      <c r="B40" s="86" t="n"/>
      <c r="C40" s="86" t="n"/>
      <c r="D40" s="86" t="n"/>
      <c r="E40" s="90" t="n"/>
      <c r="F40" s="86" t="n"/>
    </row>
    <row r="41" ht="36" customHeight="1">
      <c r="A41" s="86" t="n"/>
      <c r="B41" s="86" t="n"/>
      <c r="C41" s="86" t="n"/>
      <c r="D41" s="86" t="n"/>
      <c r="E41" s="90" t="n"/>
      <c r="F41" s="86" t="n"/>
    </row>
    <row r="42" ht="36" customHeight="1">
      <c r="A42" s="86" t="n"/>
      <c r="B42" s="86" t="n"/>
      <c r="C42" s="86" t="n"/>
      <c r="D42" s="86" t="n"/>
      <c r="E42" s="90" t="n"/>
      <c r="F42" s="86" t="n"/>
    </row>
    <row r="43" ht="36" customHeight="1">
      <c r="A43" s="86" t="n"/>
      <c r="B43" s="86" t="n"/>
      <c r="C43" s="86" t="n"/>
      <c r="D43" s="86" t="n"/>
      <c r="E43" s="90" t="n"/>
      <c r="F43" s="86" t="n"/>
    </row>
    <row r="44" ht="18" customHeight="1">
      <c r="A44" s="36" t="n"/>
      <c r="B44" s="36" t="n"/>
      <c r="C44" s="36" t="n"/>
      <c r="D44" s="36" t="n"/>
      <c r="E44" s="14" t="n"/>
      <c r="F44" s="36" t="n"/>
    </row>
    <row r="45" ht="18" customHeight="1">
      <c r="A45" s="36" t="n"/>
      <c r="B45" s="36" t="n"/>
      <c r="C45" s="36" t="n"/>
      <c r="D45" s="36" t="n"/>
      <c r="E45" s="14" t="n"/>
      <c r="F45" s="36" t="n"/>
    </row>
    <row r="46" ht="18" customHeight="1">
      <c r="A46" s="36" t="n"/>
      <c r="B46" s="36" t="n"/>
      <c r="C46" s="36" t="n"/>
      <c r="D46" s="36" t="n"/>
      <c r="E46" s="14" t="n"/>
      <c r="F46" s="36" t="n"/>
    </row>
    <row r="47" ht="18" customHeight="1">
      <c r="A47" s="36" t="n"/>
      <c r="B47" s="36" t="n"/>
      <c r="C47" s="36" t="n"/>
      <c r="D47" s="36" t="n"/>
      <c r="E47" s="14" t="n"/>
      <c r="F47" s="36" t="n"/>
    </row>
  </sheetData>
  <mergeCells count="18">
    <mergeCell ref="A18:H18"/>
    <mergeCell ref="B8:H8"/>
    <mergeCell ref="B14:H14"/>
    <mergeCell ref="A3:H3"/>
    <mergeCell ref="B26:H26"/>
    <mergeCell ref="B9:H9"/>
    <mergeCell ref="B13:H13"/>
    <mergeCell ref="A25:H25"/>
    <mergeCell ref="A24:H24"/>
    <mergeCell ref="B12:H12"/>
    <mergeCell ref="B6:H6"/>
    <mergeCell ref="A34:F34"/>
    <mergeCell ref="B15:H15"/>
    <mergeCell ref="B10:H10"/>
    <mergeCell ref="A5:H5"/>
    <mergeCell ref="B11:H11"/>
    <mergeCell ref="B7:H7"/>
    <mergeCell ref="A1:H2"/>
  </mergeCells>
  <dataValidations count="1">
    <dataValidation sqref="D20:D31" showDropDown="0" showInputMessage="0" showErrorMessage="0" allowBlank="0" type="list">
      <formula1>"Employed,Self-employed,N/A"</formula1>
    </dataValidation>
  </dataValidations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6"/>
  <sheetViews>
    <sheetView showGridLines="0" topLeftCell="A3" workbookViewId="0">
      <selection activeCell="G33" sqref="G33"/>
    </sheetView>
  </sheetViews>
  <sheetFormatPr baseColWidth="8" defaultRowHeight="14"/>
  <cols>
    <col width="20" customWidth="1" min="1" max="1"/>
    <col width="16" customWidth="1" min="2" max="7"/>
    <col width="3" customWidth="1" min="8" max="8"/>
    <col width="16" customWidth="1" min="9" max="11"/>
    <col width="3" customWidth="1" min="12" max="12"/>
    <col width="16" customWidth="1" min="13" max="14"/>
  </cols>
  <sheetData>
    <row r="1" ht="25" customHeight="1">
      <c r="A1" s="48" t="inlineStr">
        <is>
          <t>2027 Strategic Business Plan</t>
        </is>
      </c>
    </row>
    <row r="2" ht="25" customHeight="1"/>
    <row r="3" ht="28" customHeight="1">
      <c r="A3" s="27" t="inlineStr">
        <is>
          <t>A compact executive view of targets, priorities and delivery status.</t>
        </is>
      </c>
    </row>
    <row r="4">
      <c r="A4" s="42">
        <f>'Financial Plan'!P16</f>
        <v/>
      </c>
      <c r="B4" s="43" t="n"/>
      <c r="C4" s="44" t="n"/>
      <c r="E4" s="42">
        <f>AVERAGE('Financial Plan'!D16:O16)</f>
        <v/>
      </c>
      <c r="F4" s="43" t="n"/>
      <c r="G4" s="44" t="n"/>
      <c r="I4" s="42">
        <f>SUM('Financial Plan'!P13:P14)</f>
        <v/>
      </c>
      <c r="J4" s="43" t="n"/>
      <c r="K4" s="44" t="n"/>
      <c r="M4" s="42">
        <f>'Financial Plan'!P15</f>
        <v/>
      </c>
      <c r="N4" s="44" t="n"/>
    </row>
    <row r="5">
      <c r="A5" s="45" t="n"/>
      <c r="B5" s="46" t="n"/>
      <c r="C5" s="47" t="n"/>
      <c r="E5" s="45" t="n"/>
      <c r="F5" s="46" t="n"/>
      <c r="G5" s="47" t="n"/>
      <c r="I5" s="45" t="n"/>
      <c r="J5" s="46" t="n"/>
      <c r="K5" s="47" t="n"/>
      <c r="M5" s="45" t="n"/>
      <c r="N5" s="47" t="n"/>
    </row>
    <row r="6">
      <c r="A6" s="34" t="inlineStr">
        <is>
          <t>Annual written target</t>
        </is>
      </c>
      <c r="E6" s="34" t="inlineStr">
        <is>
          <t>Average monthly target</t>
        </is>
      </c>
      <c r="I6" s="34" t="inlineStr">
        <is>
          <t>Mortgage &amp; Protection annual target</t>
        </is>
      </c>
      <c r="M6" s="34" t="inlineStr">
        <is>
          <t>Other Income annual target</t>
        </is>
      </c>
    </row>
    <row r="8">
      <c r="A8" s="35" t="inlineStr">
        <is>
          <t>Quarterly written target</t>
        </is>
      </c>
    </row>
    <row r="9">
      <c r="A9" s="37" t="inlineStr">
        <is>
          <t>Metric</t>
        </is>
      </c>
      <c r="B9" s="37" t="inlineStr">
        <is>
          <t>Q1</t>
        </is>
      </c>
      <c r="C9" s="37" t="inlineStr">
        <is>
          <t>Q2</t>
        </is>
      </c>
      <c r="D9" s="37" t="inlineStr">
        <is>
          <t>Q3</t>
        </is>
      </c>
      <c r="E9" s="37" t="inlineStr">
        <is>
          <t>Q4</t>
        </is>
      </c>
      <c r="F9" s="37" t="inlineStr">
        <is>
          <t>Annual</t>
        </is>
      </c>
    </row>
    <row r="10">
      <c r="A10" s="8" t="inlineStr">
        <is>
          <t>Total</t>
        </is>
      </c>
      <c r="B10" s="10">
        <f>'Financial Plan'!B24</f>
        <v/>
      </c>
      <c r="C10" s="10">
        <f>'Financial Plan'!C24</f>
        <v/>
      </c>
      <c r="D10" s="10">
        <f>'Financial Plan'!D24</f>
        <v/>
      </c>
      <c r="E10" s="10">
        <f>'Financial Plan'!E24</f>
        <v/>
      </c>
      <c r="F10" s="10">
        <f>'Financial Plan'!F24</f>
        <v/>
      </c>
    </row>
    <row r="11">
      <c r="A11" s="8" t="inlineStr">
        <is>
          <t>Mortgage</t>
        </is>
      </c>
      <c r="B11" s="10">
        <f>'Financial Plan'!B21</f>
        <v/>
      </c>
      <c r="C11" s="10">
        <f>'Financial Plan'!C21</f>
        <v/>
      </c>
      <c r="D11" s="10">
        <f>'Financial Plan'!D21</f>
        <v/>
      </c>
      <c r="E11" s="10">
        <f>'Financial Plan'!E21</f>
        <v/>
      </c>
      <c r="F11" s="10">
        <f>'Financial Plan'!F21</f>
        <v/>
      </c>
    </row>
    <row r="12">
      <c r="A12" s="8" t="inlineStr">
        <is>
          <t>Protection</t>
        </is>
      </c>
      <c r="B12" s="10">
        <f>'Financial Plan'!B22</f>
        <v/>
      </c>
      <c r="C12" s="10">
        <f>'Financial Plan'!C22</f>
        <v/>
      </c>
      <c r="D12" s="10">
        <f>'Financial Plan'!D22</f>
        <v/>
      </c>
      <c r="E12" s="10">
        <f>'Financial Plan'!E22</f>
        <v/>
      </c>
      <c r="F12" s="10">
        <f>'Financial Plan'!F22</f>
        <v/>
      </c>
    </row>
    <row r="13">
      <c r="A13" s="8" t="inlineStr">
        <is>
          <t>Other Income</t>
        </is>
      </c>
      <c r="B13" s="10">
        <f>'Financial Plan'!B23</f>
        <v/>
      </c>
      <c r="C13" s="10">
        <f>'Financial Plan'!C23</f>
        <v/>
      </c>
      <c r="D13" s="10">
        <f>'Financial Plan'!D23</f>
        <v/>
      </c>
      <c r="E13" s="10">
        <f>'Financial Plan'!E23</f>
        <v/>
      </c>
      <c r="F13" s="10">
        <f>'Financial Plan'!F23</f>
        <v/>
      </c>
    </row>
    <row r="16">
      <c r="A16" s="35" t="inlineStr">
        <is>
          <t>Plan details</t>
        </is>
      </c>
    </row>
    <row r="17" ht="22" customHeight="1">
      <c r="A17" s="6" t="inlineStr">
        <is>
          <t>Firm name</t>
        </is>
      </c>
      <c r="B17" s="49" t="inlineStr">
        <is>
          <t>Duncan &amp; Co Financial</t>
        </is>
      </c>
      <c r="C17" s="52" t="n"/>
      <c r="D17" s="52" t="n"/>
      <c r="E17" s="52" t="n"/>
      <c r="F17" s="53" t="n"/>
    </row>
    <row r="18" ht="22" customHeight="1">
      <c r="A18" s="6" t="inlineStr">
        <is>
          <t>Plan owner</t>
        </is>
      </c>
      <c r="B18" s="49" t="inlineStr">
        <is>
          <t>Robert Duncan</t>
        </is>
      </c>
      <c r="C18" s="52" t="n"/>
      <c r="D18" s="52" t="n"/>
      <c r="E18" s="52" t="n"/>
      <c r="F18" s="53" t="n"/>
    </row>
    <row r="19" ht="22" customHeight="1">
      <c r="A19" s="6" t="inlineStr">
        <is>
          <t>Version date</t>
        </is>
      </c>
      <c r="B19" s="54" t="n">
        <v>46300</v>
      </c>
      <c r="C19" s="52" t="n"/>
      <c r="D19" s="52" t="n"/>
      <c r="E19" s="52" t="n"/>
      <c r="F19" s="53" t="n"/>
    </row>
    <row r="20">
      <c r="A20" s="6" t="inlineStr">
        <is>
          <t>Model status</t>
        </is>
      </c>
      <c r="B20" s="4">
        <f>'Risks &amp; Actions'!B6</f>
        <v/>
      </c>
    </row>
    <row r="24">
      <c r="A24" s="37" t="inlineStr">
        <is>
          <t>Month</t>
        </is>
      </c>
      <c r="B24" s="37" t="inlineStr">
        <is>
          <t>Mortgage</t>
        </is>
      </c>
      <c r="C24" s="37" t="inlineStr">
        <is>
          <t>Protection</t>
        </is>
      </c>
      <c r="D24" s="37" t="inlineStr">
        <is>
          <t>Other Income</t>
        </is>
      </c>
      <c r="E24" s="37" t="inlineStr">
        <is>
          <t>Total</t>
        </is>
      </c>
    </row>
    <row r="25">
      <c r="A25" s="8" t="inlineStr">
        <is>
          <t>Jan</t>
        </is>
      </c>
      <c r="B25" s="10">
        <f>'Financial Plan'!D13</f>
        <v/>
      </c>
      <c r="C25" s="10">
        <f>'Financial Plan'!D14</f>
        <v/>
      </c>
      <c r="D25" s="10">
        <f>'Financial Plan'!D15</f>
        <v/>
      </c>
      <c r="E25" s="10">
        <f>'Financial Plan'!D16</f>
        <v/>
      </c>
    </row>
    <row r="26">
      <c r="A26" s="8" t="inlineStr">
        <is>
          <t>Feb</t>
        </is>
      </c>
      <c r="B26" s="10">
        <f>'Financial Plan'!E13</f>
        <v/>
      </c>
      <c r="C26" s="10">
        <f>'Financial Plan'!E14</f>
        <v/>
      </c>
      <c r="D26" s="10">
        <f>'Financial Plan'!E15</f>
        <v/>
      </c>
      <c r="E26" s="10">
        <f>'Financial Plan'!E16</f>
        <v/>
      </c>
    </row>
    <row r="27">
      <c r="A27" s="8" t="inlineStr">
        <is>
          <t>Mar</t>
        </is>
      </c>
      <c r="B27" s="10">
        <f>'Financial Plan'!F13</f>
        <v/>
      </c>
      <c r="C27" s="10">
        <f>'Financial Plan'!F14</f>
        <v/>
      </c>
      <c r="D27" s="10">
        <f>'Financial Plan'!F15</f>
        <v/>
      </c>
      <c r="E27" s="10">
        <f>'Financial Plan'!F16</f>
        <v/>
      </c>
    </row>
    <row r="28">
      <c r="A28" s="8" t="inlineStr">
        <is>
          <t>Apr</t>
        </is>
      </c>
      <c r="B28" s="10">
        <f>'Financial Plan'!G13</f>
        <v/>
      </c>
      <c r="C28" s="10">
        <f>'Financial Plan'!G14</f>
        <v/>
      </c>
      <c r="D28" s="10">
        <f>'Financial Plan'!G15</f>
        <v/>
      </c>
      <c r="E28" s="10">
        <f>'Financial Plan'!G16</f>
        <v/>
      </c>
    </row>
    <row r="29">
      <c r="A29" s="8" t="inlineStr">
        <is>
          <t>May</t>
        </is>
      </c>
      <c r="B29" s="10">
        <f>'Financial Plan'!H13</f>
        <v/>
      </c>
      <c r="C29" s="10">
        <f>'Financial Plan'!H14</f>
        <v/>
      </c>
      <c r="D29" s="10">
        <f>'Financial Plan'!H15</f>
        <v/>
      </c>
      <c r="E29" s="10">
        <f>'Financial Plan'!H16</f>
        <v/>
      </c>
    </row>
    <row r="30">
      <c r="A30" s="8" t="inlineStr">
        <is>
          <t>Jun</t>
        </is>
      </c>
      <c r="B30" s="10">
        <f>'Financial Plan'!I13</f>
        <v/>
      </c>
      <c r="C30" s="10">
        <f>'Financial Plan'!I14</f>
        <v/>
      </c>
      <c r="D30" s="10">
        <f>'Financial Plan'!I15</f>
        <v/>
      </c>
      <c r="E30" s="10">
        <f>'Financial Plan'!I16</f>
        <v/>
      </c>
    </row>
    <row r="31">
      <c r="A31" s="8" t="inlineStr">
        <is>
          <t>Jul</t>
        </is>
      </c>
      <c r="B31" s="10">
        <f>'Financial Plan'!J13</f>
        <v/>
      </c>
      <c r="C31" s="10">
        <f>'Financial Plan'!J14</f>
        <v/>
      </c>
      <c r="D31" s="10">
        <f>'Financial Plan'!J15</f>
        <v/>
      </c>
      <c r="E31" s="10">
        <f>'Financial Plan'!J16</f>
        <v/>
      </c>
    </row>
    <row r="32">
      <c r="A32" s="8" t="inlineStr">
        <is>
          <t>Aug</t>
        </is>
      </c>
      <c r="B32" s="10">
        <f>'Financial Plan'!K13</f>
        <v/>
      </c>
      <c r="C32" s="10">
        <f>'Financial Plan'!K14</f>
        <v/>
      </c>
      <c r="D32" s="10">
        <f>'Financial Plan'!K15</f>
        <v/>
      </c>
      <c r="E32" s="10">
        <f>'Financial Plan'!K16</f>
        <v/>
      </c>
    </row>
    <row r="33">
      <c r="A33" s="8" t="inlineStr">
        <is>
          <t>Sep</t>
        </is>
      </c>
      <c r="B33" s="10">
        <f>'Financial Plan'!L13</f>
        <v/>
      </c>
      <c r="C33" s="10">
        <f>'Financial Plan'!L14</f>
        <v/>
      </c>
      <c r="D33" s="10">
        <f>'Financial Plan'!L15</f>
        <v/>
      </c>
      <c r="E33" s="10">
        <f>'Financial Plan'!L16</f>
        <v/>
      </c>
    </row>
    <row r="34">
      <c r="A34" s="8" t="inlineStr">
        <is>
          <t>Oct</t>
        </is>
      </c>
      <c r="B34" s="10">
        <f>'Financial Plan'!M13</f>
        <v/>
      </c>
      <c r="C34" s="10">
        <f>'Financial Plan'!M14</f>
        <v/>
      </c>
      <c r="D34" s="10">
        <f>'Financial Plan'!M15</f>
        <v/>
      </c>
      <c r="E34" s="10">
        <f>'Financial Plan'!M16</f>
        <v/>
      </c>
    </row>
    <row r="35">
      <c r="A35" s="8" t="inlineStr">
        <is>
          <t>Nov</t>
        </is>
      </c>
      <c r="B35" s="10">
        <f>'Financial Plan'!N13</f>
        <v/>
      </c>
      <c r="C35" s="10">
        <f>'Financial Plan'!N14</f>
        <v/>
      </c>
      <c r="D35" s="10">
        <f>'Financial Plan'!N15</f>
        <v/>
      </c>
      <c r="E35" s="10">
        <f>'Financial Plan'!N16</f>
        <v/>
      </c>
    </row>
    <row r="36">
      <c r="A36" s="8" t="inlineStr">
        <is>
          <t>Dec</t>
        </is>
      </c>
      <c r="B36" s="10">
        <f>'Financial Plan'!O13</f>
        <v/>
      </c>
      <c r="C36" s="10">
        <f>'Financial Plan'!O14</f>
        <v/>
      </c>
      <c r="D36" s="10">
        <f>'Financial Plan'!O15</f>
        <v/>
      </c>
      <c r="E36" s="10">
        <f>'Financial Plan'!O16</f>
        <v/>
      </c>
    </row>
  </sheetData>
  <mergeCells count="15">
    <mergeCell ref="A16:F16"/>
    <mergeCell ref="A1:N2"/>
    <mergeCell ref="A3:N3"/>
    <mergeCell ref="M6:N6"/>
    <mergeCell ref="A6:C6"/>
    <mergeCell ref="B19:F19"/>
    <mergeCell ref="A8:F8"/>
    <mergeCell ref="A4:C5"/>
    <mergeCell ref="E4:G5"/>
    <mergeCell ref="I4:K5"/>
    <mergeCell ref="B17:F17"/>
    <mergeCell ref="B18:F18"/>
    <mergeCell ref="E6:G6"/>
    <mergeCell ref="M4:N5"/>
    <mergeCell ref="I6:K6"/>
  </mergeCells>
  <pageMargins left="0.4" right="0.4" top="0.5" bottom="0.5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35"/>
  <sheetViews>
    <sheetView showGridLines="0" workbookViewId="0">
      <selection activeCell="A1" sqref="A1:P2"/>
    </sheetView>
  </sheetViews>
  <sheetFormatPr baseColWidth="8" defaultRowHeight="14"/>
  <cols>
    <col width="20" customWidth="1" min="1" max="2"/>
    <col width="30" customWidth="1" min="3" max="3"/>
    <col width="12" customWidth="1" min="4" max="15"/>
    <col width="16" customWidth="1" min="16" max="16"/>
  </cols>
  <sheetData>
    <row r="1" ht="25" customHeight="1">
      <c r="A1" s="48" t="inlineStr">
        <is>
          <t>2027 Financial Plan</t>
        </is>
      </c>
    </row>
    <row r="2" ht="25" customHeight="1"/>
    <row r="3" ht="28" customHeight="1">
      <c r="A3" s="27" t="inlineStr">
        <is>
          <t>Three income streams only. Change yellow assumptions or overwrite yellow monthly cells for seasonality; totals update automatically.</t>
        </is>
      </c>
    </row>
    <row r="5">
      <c r="A5" s="35" t="inlineStr">
        <is>
          <t>Core assumptions</t>
        </is>
      </c>
    </row>
    <row r="6" ht="28" customHeight="1">
      <c r="A6" s="37" t="inlineStr">
        <is>
          <t>Income Stream</t>
        </is>
      </c>
      <c r="B6" s="37" t="inlineStr">
        <is>
          <t>Default Monthly Target</t>
        </is>
      </c>
      <c r="C6" s="37" t="inlineStr">
        <is>
          <t>Lag (months)</t>
        </is>
      </c>
      <c r="D6" s="37" t="inlineStr">
        <is>
          <t>Scope</t>
        </is>
      </c>
      <c r="E6" s="40" t="n"/>
      <c r="F6" s="41" t="n"/>
    </row>
    <row r="7">
      <c r="A7" t="inlineStr">
        <is>
          <t>Mortgage</t>
        </is>
      </c>
      <c r="B7" s="92">
        <f>B33</f>
        <v/>
      </c>
      <c r="C7" s="36" t="n">
        <v>2</v>
      </c>
      <c r="D7" s="38" t="inlineStr">
        <is>
          <t>40 leads → 30 spoken → 1 in 3 = 10 completions × £180k–£250k (mid £215k). Income = 0.35% of written. Change yellow cells in the conversion model below.</t>
        </is>
      </c>
      <c r="E7" s="40" t="n"/>
      <c r="F7" s="41" t="n"/>
    </row>
    <row r="8">
      <c r="A8" t="inlineStr">
        <is>
          <t>Protection</t>
        </is>
      </c>
      <c r="B8" s="92">
        <f>B35</f>
        <v/>
      </c>
      <c r="C8" s="36" t="n">
        <v>2</v>
      </c>
      <c r="D8" s="38" t="inlineStr">
        <is>
          <t>£1,000 per protection case; 1 in 3 of the 10 completions ≈ 3 cases. Linked to the conversion model.</t>
        </is>
      </c>
      <c r="E8" s="40" t="n"/>
      <c r="F8" s="41" t="n"/>
    </row>
    <row r="9">
      <c r="A9" t="inlineStr">
        <is>
          <t>Other Income</t>
        </is>
      </c>
      <c r="B9" s="55" t="n">
        <v>0</v>
      </c>
      <c r="C9" s="36" t="n">
        <v>0</v>
      </c>
      <c r="D9" s="56" t="inlineStr">
        <is>
          <t>GI, referrals and Beanstalk JISA starter — overwrite if needed</t>
        </is>
      </c>
      <c r="E9" s="52" t="n"/>
      <c r="F9" s="53" t="n"/>
    </row>
    <row r="11">
      <c r="A11" s="35" t="inlineStr">
        <is>
          <t>Monthly written targets</t>
        </is>
      </c>
    </row>
    <row r="12">
      <c r="A12" s="37" t="inlineStr">
        <is>
          <t>Income Stream</t>
        </is>
      </c>
      <c r="B12" s="37" t="inlineStr">
        <is>
          <t>Default Monthly</t>
        </is>
      </c>
      <c r="C12" s="37" t="inlineStr">
        <is>
          <t>Scope</t>
        </is>
      </c>
      <c r="D12" s="37" t="inlineStr">
        <is>
          <t>Jan</t>
        </is>
      </c>
      <c r="E12" s="37" t="inlineStr">
        <is>
          <t>Feb</t>
        </is>
      </c>
      <c r="F12" s="37" t="inlineStr">
        <is>
          <t>Mar</t>
        </is>
      </c>
      <c r="G12" s="37" t="inlineStr">
        <is>
          <t>Apr</t>
        </is>
      </c>
      <c r="H12" s="37" t="inlineStr">
        <is>
          <t>May</t>
        </is>
      </c>
      <c r="I12" s="37" t="inlineStr">
        <is>
          <t>Jun</t>
        </is>
      </c>
      <c r="J12" s="37" t="inlineStr">
        <is>
          <t>Jul</t>
        </is>
      </c>
      <c r="K12" s="37" t="inlineStr">
        <is>
          <t>Aug</t>
        </is>
      </c>
      <c r="L12" s="37" t="inlineStr">
        <is>
          <t>Sep</t>
        </is>
      </c>
      <c r="M12" s="37" t="inlineStr">
        <is>
          <t>Oct</t>
        </is>
      </c>
      <c r="N12" s="37" t="inlineStr">
        <is>
          <t>Nov</t>
        </is>
      </c>
      <c r="O12" s="37" t="inlineStr">
        <is>
          <t>Dec</t>
        </is>
      </c>
      <c r="P12" s="37" t="inlineStr">
        <is>
          <t>Annual</t>
        </is>
      </c>
    </row>
    <row r="13">
      <c r="A13" s="8" t="inlineStr">
        <is>
          <t>Mortgage</t>
        </is>
      </c>
      <c r="B13" s="5">
        <f>B7</f>
        <v/>
      </c>
      <c r="C13" s="10" t="inlineStr">
        <is>
          <t>New Build and Retention</t>
        </is>
      </c>
      <c r="D13" s="3">
        <f>$B7</f>
        <v/>
      </c>
      <c r="E13" s="3">
        <f>$B7</f>
        <v/>
      </c>
      <c r="F13" s="3">
        <f>$B7</f>
        <v/>
      </c>
      <c r="G13" s="3">
        <f>$B7</f>
        <v/>
      </c>
      <c r="H13" s="3">
        <f>$B7</f>
        <v/>
      </c>
      <c r="I13" s="3">
        <f>$B7</f>
        <v/>
      </c>
      <c r="J13" s="3">
        <f>$B7</f>
        <v/>
      </c>
      <c r="K13" s="3">
        <f>$B7</f>
        <v/>
      </c>
      <c r="L13" s="3">
        <f>$B7</f>
        <v/>
      </c>
      <c r="M13" s="3">
        <f>$B7</f>
        <v/>
      </c>
      <c r="N13" s="3">
        <f>$B7</f>
        <v/>
      </c>
      <c r="O13" s="3">
        <f>$B7</f>
        <v/>
      </c>
      <c r="P13" s="5">
        <f>SUM(D13:O13)</f>
        <v/>
      </c>
    </row>
    <row r="14">
      <c r="A14" s="8" t="inlineStr">
        <is>
          <t>Protection</t>
        </is>
      </c>
      <c r="B14" s="5">
        <f>B8</f>
        <v/>
      </c>
      <c r="C14" s="10" t="inlineStr">
        <is>
          <t>Protection income</t>
        </is>
      </c>
      <c r="D14" s="3">
        <f>$B8</f>
        <v/>
      </c>
      <c r="E14" s="3">
        <f>$B8</f>
        <v/>
      </c>
      <c r="F14" s="3">
        <f>$B8</f>
        <v/>
      </c>
      <c r="G14" s="3">
        <f>$B8</f>
        <v/>
      </c>
      <c r="H14" s="3">
        <f>$B8</f>
        <v/>
      </c>
      <c r="I14" s="3">
        <f>$B8</f>
        <v/>
      </c>
      <c r="J14" s="3">
        <f>$B8</f>
        <v/>
      </c>
      <c r="K14" s="3">
        <f>$B8</f>
        <v/>
      </c>
      <c r="L14" s="3">
        <f>$B8</f>
        <v/>
      </c>
      <c r="M14" s="3">
        <f>$B8</f>
        <v/>
      </c>
      <c r="N14" s="3">
        <f>$B8</f>
        <v/>
      </c>
      <c r="O14" s="3">
        <f>$B8</f>
        <v/>
      </c>
      <c r="P14" s="5">
        <f>SUM(D14:O14)</f>
        <v/>
      </c>
    </row>
    <row r="15">
      <c r="A15" s="8" t="inlineStr">
        <is>
          <t>Other Income</t>
        </is>
      </c>
      <c r="B15" s="5">
        <f>B9</f>
        <v/>
      </c>
      <c r="C15" s="10" t="inlineStr">
        <is>
          <t>Wealth, GI, Later Life and referrals</t>
        </is>
      </c>
      <c r="D15" s="3">
        <f>$B9</f>
        <v/>
      </c>
      <c r="E15" s="3">
        <f>$B9</f>
        <v/>
      </c>
      <c r="F15" s="3">
        <f>$B9</f>
        <v/>
      </c>
      <c r="G15" s="3">
        <f>$B9</f>
        <v/>
      </c>
      <c r="H15" s="3">
        <f>$B9</f>
        <v/>
      </c>
      <c r="I15" s="3">
        <f>$B9</f>
        <v/>
      </c>
      <c r="J15" s="3">
        <f>$B9</f>
        <v/>
      </c>
      <c r="K15" s="3">
        <f>$B9</f>
        <v/>
      </c>
      <c r="L15" s="3">
        <f>$B9</f>
        <v/>
      </c>
      <c r="M15" s="3">
        <f>$B9</f>
        <v/>
      </c>
      <c r="N15" s="3">
        <f>$B9</f>
        <v/>
      </c>
      <c r="O15" s="3">
        <f>$B9</f>
        <v/>
      </c>
      <c r="P15" s="5">
        <f>SUM(D15:O15)</f>
        <v/>
      </c>
    </row>
    <row r="16">
      <c r="A16" s="9" t="inlineStr">
        <is>
          <t>TOTAL</t>
        </is>
      </c>
      <c r="B16" s="11" t="n"/>
      <c r="C16" s="11" t="inlineStr">
        <is>
          <t>All income streams</t>
        </is>
      </c>
      <c r="D16" s="7">
        <f>SUM(D13:D15)</f>
        <v/>
      </c>
      <c r="E16" s="7">
        <f>SUM(E13:E15)</f>
        <v/>
      </c>
      <c r="F16" s="7">
        <f>SUM(F13:F15)</f>
        <v/>
      </c>
      <c r="G16" s="7">
        <f>SUM(G13:G15)</f>
        <v/>
      </c>
      <c r="H16" s="7">
        <f>SUM(H13:H15)</f>
        <v/>
      </c>
      <c r="I16" s="7">
        <f>SUM(I13:I15)</f>
        <v/>
      </c>
      <c r="J16" s="7">
        <f>SUM(J13:J15)</f>
        <v/>
      </c>
      <c r="K16" s="7">
        <f>SUM(K13:K15)</f>
        <v/>
      </c>
      <c r="L16" s="7">
        <f>SUM(L13:L15)</f>
        <v/>
      </c>
      <c r="M16" s="7">
        <f>SUM(M13:M15)</f>
        <v/>
      </c>
      <c r="N16" s="7">
        <f>SUM(N13:N15)</f>
        <v/>
      </c>
      <c r="O16" s="7">
        <f>SUM(O13:O15)</f>
        <v/>
      </c>
      <c r="P16" s="7">
        <f>SUM(D16:O16)</f>
        <v/>
      </c>
    </row>
    <row r="19">
      <c r="A19" s="35" t="inlineStr">
        <is>
          <t>Quarterly roll-up</t>
        </is>
      </c>
    </row>
    <row r="20">
      <c r="A20" s="37" t="inlineStr">
        <is>
          <t>Stream</t>
        </is>
      </c>
      <c r="B20" s="37" t="inlineStr">
        <is>
          <t>Q1</t>
        </is>
      </c>
      <c r="C20" s="37" t="inlineStr">
        <is>
          <t>Q2</t>
        </is>
      </c>
      <c r="D20" s="37" t="inlineStr">
        <is>
          <t>Q3</t>
        </is>
      </c>
      <c r="E20" s="37" t="inlineStr">
        <is>
          <t>Q4</t>
        </is>
      </c>
      <c r="F20" s="37" t="inlineStr">
        <is>
          <t>Annual</t>
        </is>
      </c>
    </row>
    <row r="21">
      <c r="A21" s="8" t="inlineStr">
        <is>
          <t>Mortgage</t>
        </is>
      </c>
      <c r="B21" s="10">
        <f>SUM(D13:F13)</f>
        <v/>
      </c>
      <c r="C21" s="10">
        <f>SUM(G13:I13)</f>
        <v/>
      </c>
      <c r="D21" s="10">
        <f>SUM(J13:L13)</f>
        <v/>
      </c>
      <c r="E21" s="10">
        <f>SUM(M13:O13)</f>
        <v/>
      </c>
      <c r="F21" s="10">
        <f>P13</f>
        <v/>
      </c>
    </row>
    <row r="22">
      <c r="A22" s="8" t="inlineStr">
        <is>
          <t>Protection</t>
        </is>
      </c>
      <c r="B22" s="10">
        <f>SUM(D14:F14)</f>
        <v/>
      </c>
      <c r="C22" s="10">
        <f>SUM(G14:I14)</f>
        <v/>
      </c>
      <c r="D22" s="10">
        <f>SUM(J14:L14)</f>
        <v/>
      </c>
      <c r="E22" s="10">
        <f>SUM(M14:O14)</f>
        <v/>
      </c>
      <c r="F22" s="10">
        <f>P14</f>
        <v/>
      </c>
    </row>
    <row r="23">
      <c r="A23" s="8" t="inlineStr">
        <is>
          <t>Other Income</t>
        </is>
      </c>
      <c r="B23" s="10">
        <f>SUM(D15:F15)</f>
        <v/>
      </c>
      <c r="C23" s="10">
        <f>SUM(G15:I15)</f>
        <v/>
      </c>
      <c r="D23" s="10">
        <f>SUM(J15:L15)</f>
        <v/>
      </c>
      <c r="E23" s="10">
        <f>SUM(M15:O15)</f>
        <v/>
      </c>
      <c r="F23" s="10">
        <f>P15</f>
        <v/>
      </c>
    </row>
    <row r="24">
      <c r="A24" s="8" t="inlineStr">
        <is>
          <t>Total</t>
        </is>
      </c>
      <c r="B24" s="10">
        <f>SUM(D16:F16)</f>
        <v/>
      </c>
      <c r="C24" s="10">
        <f>SUM(G16:I16)</f>
        <v/>
      </c>
      <c r="D24" s="10">
        <f>SUM(J16:L16)</f>
        <v/>
      </c>
      <c r="E24" s="10">
        <f>SUM(M16:O16)</f>
        <v/>
      </c>
      <c r="F24" s="10">
        <f>P16</f>
        <v/>
      </c>
    </row>
    <row r="26" ht="22" customHeight="1">
      <c r="A26" s="93" t="inlineStr">
        <is>
          <t>Conversion model (plan target)</t>
        </is>
      </c>
      <c r="B26" s="61" t="n"/>
      <c r="C26" s="61" t="n"/>
      <c r="D26" s="61" t="n"/>
      <c r="E26" s="61" t="n"/>
      <c r="F26" s="61" t="n"/>
    </row>
    <row r="27" ht="22" customHeight="1">
      <c r="A27" s="72" t="inlineStr">
        <is>
          <t>Driver</t>
        </is>
      </c>
      <c r="B27" s="72" t="inlineStr">
        <is>
          <t>Value</t>
        </is>
      </c>
      <c r="C27" s="72" t="inlineStr">
        <is>
          <t>Unit / note</t>
        </is>
      </c>
      <c r="D27" s="94" t="n"/>
      <c r="E27" s="94" t="n"/>
      <c r="F27" s="94" t="n"/>
    </row>
    <row r="28" ht="22" customHeight="1">
      <c r="A28" s="63" t="inlineStr">
        <is>
          <t>Leads in a month</t>
        </is>
      </c>
      <c r="B28" s="49" t="n">
        <v>40</v>
      </c>
      <c r="C28" s="87" t="inlineStr">
        <is>
          <t>Inbound leads</t>
        </is>
      </c>
      <c r="D28" s="76" t="n"/>
      <c r="E28" s="76" t="n"/>
      <c r="F28" s="76" t="n"/>
    </row>
    <row r="29" ht="22" customHeight="1">
      <c r="A29" s="63" t="inlineStr">
        <is>
          <t>Spoken with</t>
        </is>
      </c>
      <c r="B29" s="49" t="n">
        <v>30</v>
      </c>
      <c r="C29" s="87" t="inlineStr">
        <is>
          <t>Appointments / conversations from those leads</t>
        </is>
      </c>
      <c r="D29" s="76" t="n"/>
      <c r="E29" s="76" t="n"/>
      <c r="F29" s="76" t="n"/>
    </row>
    <row r="30" ht="22" customHeight="1">
      <c r="A30" s="63" t="inlineStr">
        <is>
          <t>Conversion of spoken (1 in n)</t>
        </is>
      </c>
      <c r="B30" s="49" t="n">
        <v>3</v>
      </c>
      <c r="C30" s="87" t="inlineStr">
        <is>
          <t>1 in 3 of the 30 spoken</t>
        </is>
      </c>
      <c r="D30" s="76" t="n"/>
      <c r="E30" s="76" t="n"/>
      <c r="F30" s="76" t="n"/>
    </row>
    <row r="31" ht="22" customHeight="1">
      <c r="A31" s="63" t="inlineStr">
        <is>
          <t>Completions</t>
        </is>
      </c>
      <c r="B31" s="67">
        <f>B29/B30</f>
        <v/>
      </c>
      <c r="C31" s="87" t="inlineStr">
        <is>
          <t>Spoken ÷ conversion = 10 cases</t>
        </is>
      </c>
      <c r="D31" s="76" t="n"/>
      <c r="E31" s="76" t="n"/>
      <c r="F31" s="76" t="n"/>
    </row>
    <row r="32" ht="22" customHeight="1">
      <c r="A32" s="63" t="inlineStr">
        <is>
          <t>Average loan (mid of £180k–£250k)</t>
        </is>
      </c>
      <c r="B32" s="55" t="n">
        <v>215000</v>
      </c>
      <c r="C32" s="87" t="inlineStr">
        <is>
          <t>Overwrite if you want low £180k or high £250k</t>
        </is>
      </c>
      <c r="D32" s="76" t="n"/>
      <c r="E32" s="76" t="n"/>
      <c r="F32" s="76" t="n"/>
    </row>
    <row r="33" ht="22" customHeight="1">
      <c r="A33" s="63" t="inlineStr">
        <is>
          <t>Mortgage written (feeds B7)</t>
        </is>
      </c>
      <c r="B33" s="75">
        <f>B31*B32</f>
        <v/>
      </c>
      <c r="C33" s="87" t="inlineStr">
        <is>
          <t>10 × average loan</t>
        </is>
      </c>
      <c r="D33" s="76" t="n"/>
      <c r="E33" s="76" t="n"/>
      <c r="F33" s="76" t="n"/>
    </row>
    <row r="34" ht="22" customHeight="1">
      <c r="A34" s="63" t="inlineStr">
        <is>
          <t>Mortgage income at 0.35% (before network)</t>
        </is>
      </c>
      <c r="B34" s="75">
        <f>B33*0.0035</f>
        <v/>
      </c>
      <c r="C34" s="87" t="inlineStr">
        <is>
          <t>Not banked cash until the 2-month lag</t>
        </is>
      </c>
      <c r="D34" s="76" t="n"/>
      <c r="E34" s="76" t="n"/>
      <c r="F34" s="76" t="n"/>
    </row>
    <row r="35" ht="22" customHeight="1">
      <c r="A35" s="63" t="inlineStr">
        <is>
          <t>Protection cases (1 in 3 completions × £1,000)</t>
        </is>
      </c>
      <c r="B35" s="75">
        <f>ROUND(B31/3,0)*1000</f>
        <v/>
      </c>
      <c r="C35" s="87" t="inlineStr">
        <is>
          <t>About 3 cases → £3,000 (feeds B8)</t>
        </is>
      </c>
      <c r="D35" s="76" t="n"/>
      <c r="E35" s="76" t="n"/>
      <c r="F35" s="76" t="n"/>
    </row>
  </sheetData>
  <mergeCells count="19">
    <mergeCell ref="A1:P2"/>
    <mergeCell ref="C32:F32"/>
    <mergeCell ref="A26:F26"/>
    <mergeCell ref="D7:F7"/>
    <mergeCell ref="C28:F28"/>
    <mergeCell ref="A5:F5"/>
    <mergeCell ref="C34:F34"/>
    <mergeCell ref="C30:F30"/>
    <mergeCell ref="D9:F9"/>
    <mergeCell ref="C33:F33"/>
    <mergeCell ref="D8:F8"/>
    <mergeCell ref="A11:P11"/>
    <mergeCell ref="A19:F19"/>
    <mergeCell ref="C35:F35"/>
    <mergeCell ref="C29:F29"/>
    <mergeCell ref="C31:F31"/>
    <mergeCell ref="A3:P3"/>
    <mergeCell ref="C27:F27"/>
    <mergeCell ref="D6:F6"/>
  </mergeCells>
  <pageMargins left="0.4" right="0.4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287FA1"/>
    <outlinePr summaryBelow="1" summaryRight="1"/>
    <pageSetUpPr fitToPage="1"/>
  </sheetPr>
  <dimension ref="A1:P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4" customWidth="1" min="3" max="3"/>
    <col width="14" customWidth="1" min="4" max="4"/>
    <col width="56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6" customWidth="1" min="16" max="16"/>
  </cols>
  <sheetData>
    <row r="1" ht="22" customHeight="1">
      <c r="A1" s="57" t="inlineStr">
        <is>
          <t>Monthly Costs — Bob Duncan / Duncan &amp; Co Financial</t>
        </is>
      </c>
    </row>
    <row r="2" ht="18" customHeight="1"/>
    <row r="3" ht="36" customHeight="1">
      <c r="A3" s="59" t="inlineStr">
        <is>
          <t>Yellow cells are editable. Confirmed network terms are from the 2 Sep 2026 Rosemount meeting (Ahmed Bawa). Do not treat Financial Plan protection written (£240,000/month) as cash. Tesla lease, website and most operating lines are estimates for Bob to overwrite.</t>
        </is>
      </c>
    </row>
    <row r="5" ht="22" customHeight="1">
      <c r="A5" s="60" t="inlineStr">
        <is>
          <t>1. Confirmed network terms (Rosemount / Rosemount Financial Solutions)</t>
        </is>
      </c>
      <c r="B5" s="52" t="n"/>
      <c r="C5" s="52" t="n"/>
      <c r="D5" s="52" t="n"/>
      <c r="E5" s="53" t="n"/>
    </row>
    <row r="6" ht="22" customHeight="1">
      <c r="A6" s="62" t="inlineStr">
        <is>
          <t>Item</t>
        </is>
      </c>
      <c r="B6" s="62" t="inlineStr">
        <is>
          <t>Value</t>
        </is>
      </c>
      <c r="C6" s="62" t="inlineStr">
        <is>
          <t>Status</t>
        </is>
      </c>
      <c r="D6" s="62" t="inlineStr">
        <is>
          <t>Source / notes</t>
        </is>
      </c>
      <c r="E6" s="62" t="inlineStr">
        <is>
          <t>Linked calculation</t>
        </is>
      </c>
    </row>
    <row r="7" ht="28" customHeight="1">
      <c r="A7" s="63" t="inlineStr">
        <is>
          <t>Weekly Rosemount fee</t>
        </is>
      </c>
      <c r="B7" s="64" t="n">
        <v>75</v>
      </c>
      <c r="C7" s="50" t="inlineStr">
        <is>
          <t>Confirmed</t>
        </is>
      </c>
      <c r="D7" s="56" t="inlineStr">
        <is>
          <t>£75/week covers FCA, PI and software (2 Sep 2026).</t>
        </is>
      </c>
      <c r="E7" s="56" t="inlineStr">
        <is>
          <t>Confirmed commercial term</t>
        </is>
      </c>
    </row>
    <row r="8" ht="28" customHeight="1">
      <c r="A8" s="63" t="inlineStr">
        <is>
          <t>Weeks per year (for monthly conversion)</t>
        </is>
      </c>
      <c r="B8" s="65" t="n">
        <v>52</v>
      </c>
      <c r="C8" s="50" t="inlineStr">
        <is>
          <t>Confirmed</t>
        </is>
      </c>
      <c r="D8" s="56" t="inlineStr">
        <is>
          <t>Standard 52-week year.</t>
        </is>
      </c>
      <c r="E8" s="56" t="inlineStr">
        <is>
          <t>Used in monthly fee formula</t>
        </is>
      </c>
    </row>
    <row r="9" ht="28" customHeight="1">
      <c r="A9" s="63" t="inlineStr">
        <is>
          <t>Monthly Rosemount fee</t>
        </is>
      </c>
      <c r="B9" s="66">
        <f>$B$7*$B$8/12</f>
        <v/>
      </c>
      <c r="C9" s="67" t="inlineStr">
        <is>
          <t>Formula</t>
        </is>
      </c>
      <c r="D9" s="56" t="inlineStr">
        <is>
          <t>75 × 52 / 12. Confirmed from weekly term.</t>
        </is>
      </c>
      <c r="E9" s="56" t="inlineStr">
        <is>
          <t>75*52/12</t>
        </is>
      </c>
    </row>
    <row r="10" ht="28" customHeight="1">
      <c r="A10" s="63" t="inlineStr">
        <is>
          <t>Mortgage net retention (network share)</t>
        </is>
      </c>
      <c r="B10" s="68" t="n">
        <v>0.1</v>
      </c>
      <c r="C10" s="50" t="inlineStr">
        <is>
          <t>Confirmed</t>
        </is>
      </c>
      <c r="D10" s="56" t="inlineStr">
        <is>
          <t>Bob keeps 90% of mortgage procuration.</t>
        </is>
      </c>
      <c r="E10" s="56" t="inlineStr">
        <is>
          <t>10% net retention mortgages</t>
        </is>
      </c>
    </row>
    <row r="11" ht="28" customHeight="1">
      <c r="A11" s="63" t="inlineStr">
        <is>
          <t>Protection net retention (network share)</t>
        </is>
      </c>
      <c r="B11" s="68" t="n">
        <v>0.15</v>
      </c>
      <c r="C11" s="50" t="inlineStr">
        <is>
          <t>Confirmed</t>
        </is>
      </c>
      <c r="D11" s="56" t="inlineStr">
        <is>
          <t>Bob keeps 85% of protection commission.</t>
        </is>
      </c>
      <c r="E11" s="56" t="inlineStr">
        <is>
          <t>15% net retention protection</t>
        </is>
      </c>
    </row>
    <row r="12" ht="28" customHeight="1">
      <c r="A12" s="63" t="inlineStr">
        <is>
          <t>Mortgage procuration fee %</t>
        </is>
      </c>
      <c r="B12" s="69" t="n">
        <v>0.0035</v>
      </c>
      <c r="C12" s="50" t="inlineStr">
        <is>
          <t>Confirmed</t>
        </is>
      </c>
      <c r="D12" s="56" t="inlineStr">
        <is>
          <t>Robert Duncan: mortgage income is 0.35% of borrowing. Typical loan £180k–£250k.</t>
        </is>
      </c>
      <c r="E12" s="56" t="inlineStr">
        <is>
          <t>Used in cash bridge</t>
        </is>
      </c>
    </row>
    <row r="13" ht="28" customHeight="1">
      <c r="A13" s="63" t="inlineStr">
        <is>
          <t>Protection cash commission (monthly, before retention)</t>
        </is>
      </c>
      <c r="B13" s="70">
        <f>'Financial Plan'!B8</f>
        <v/>
      </c>
      <c r="C13" s="50" t="inlineStr">
        <is>
          <t>Linked</t>
        </is>
      </c>
      <c r="D13" s="56" t="inlineStr">
        <is>
          <t>£1,000 × ~3 protection cases from 10 completions (1 in 3). Linked to conversion model.</t>
        </is>
      </c>
      <c r="E13" s="56" t="inlineStr">
        <is>
          <t>Used in cash bridge</t>
        </is>
      </c>
    </row>
    <row r="14" ht="28" customHeight="1">
      <c r="A14" s="63" t="inlineStr">
        <is>
          <t>Year-1 income ambition (low)</t>
        </is>
      </c>
      <c r="B14" s="70" t="n">
        <v>80000</v>
      </c>
      <c r="C14" s="50" t="inlineStr">
        <is>
          <t>Discussed</t>
        </is>
      </c>
      <c r="D14" s="56" t="inlineStr">
        <is>
          <t>20 Aug 2026 structure consult.</t>
        </is>
      </c>
      <c r="E14" s="56" t="inlineStr">
        <is>
          <t>Ambition range</t>
        </is>
      </c>
    </row>
    <row r="15" ht="28" customHeight="1">
      <c r="A15" s="63" t="inlineStr">
        <is>
          <t>Year-1 income ambition (high)</t>
        </is>
      </c>
      <c r="B15" s="70" t="n">
        <v>120000</v>
      </c>
      <c r="C15" s="50" t="inlineStr">
        <is>
          <t>Discussed</t>
        </is>
      </c>
      <c r="D15" s="56" t="inlineStr">
        <is>
          <t>20 Aug 2026 structure consult.</t>
        </is>
      </c>
      <c r="E15" s="56" t="inlineStr">
        <is>
          <t>Ambition range</t>
        </is>
      </c>
    </row>
    <row r="16" ht="28" customHeight="1">
      <c r="A16" s="63" t="inlineStr">
        <is>
          <t>Financial Plan mortgage / protection lag (months)</t>
        </is>
      </c>
      <c r="B16" s="71">
        <f>'Financial Plan'!C7</f>
        <v/>
      </c>
      <c r="C16" s="67" t="inlineStr">
        <is>
          <t>Linked</t>
        </is>
      </c>
      <c r="D16" s="56" t="inlineStr">
        <is>
          <t>Written work banks on a lag. Used in the 12-month cash view.</t>
        </is>
      </c>
      <c r="E16" s="56" t="inlineStr">
        <is>
          <t>Financial Plan C7</t>
        </is>
      </c>
    </row>
    <row r="18" ht="22" customHeight="1">
      <c r="A18" s="60" t="inlineStr">
        <is>
          <t>2. Monthly operating costs</t>
        </is>
      </c>
      <c r="B18" s="52" t="n"/>
      <c r="C18" s="52" t="n"/>
      <c r="D18" s="52" t="n"/>
      <c r="E18" s="52" t="n"/>
      <c r="F18" s="53" t="n"/>
    </row>
    <row r="19">
      <c r="A19" s="62" t="inlineStr">
        <is>
          <t>Cost item</t>
        </is>
      </c>
      <c r="B19" s="62" t="inlineStr">
        <is>
          <t>Monthly £</t>
        </is>
      </c>
      <c r="C19" s="62" t="inlineStr">
        <is>
          <t>Type</t>
        </is>
      </c>
      <c r="D19" s="62" t="inlineStr">
        <is>
          <t>Status</t>
        </is>
      </c>
      <c r="E19" s="62" t="inlineStr">
        <is>
          <t>Notes</t>
        </is>
      </c>
      <c r="F19" s="62" t="inlineStr">
        <is>
          <t>Annual £</t>
        </is>
      </c>
    </row>
    <row r="20" ht="28" customHeight="1">
      <c r="A20" s="63" t="inlineStr">
        <is>
          <t>Rosemount network fee</t>
        </is>
      </c>
      <c r="B20" s="66">
        <f>$B$9</f>
        <v/>
      </c>
      <c r="C20" s="50" t="inlineStr">
        <is>
          <t>Fixed</t>
        </is>
      </c>
      <c r="D20" s="67" t="inlineStr">
        <is>
          <t>Confirmed</t>
        </is>
      </c>
      <c r="E20" s="56" t="inlineStr">
        <is>
          <t>From weekly £75 term (FCA, PI, software).</t>
        </is>
      </c>
      <c r="F20" s="66">
        <f>B20*12</f>
        <v/>
      </c>
    </row>
    <row r="21" ht="28" customHeight="1">
      <c r="A21" s="63" t="inlineStr">
        <is>
          <t>Tesla Model Y lease</t>
        </is>
      </c>
      <c r="B21" s="64" t="n">
        <v>0</v>
      </c>
      <c r="C21" s="50" t="inlineStr">
        <is>
          <t>Fixed</t>
        </is>
      </c>
      <c r="D21" s="50" t="inlineStr">
        <is>
          <t>Confirmed</t>
        </is>
      </c>
      <c r="E21" s="56" t="inlineStr">
        <is>
          <t>Tesla Model Y is in Robert’s personal name — not a business cost.</t>
        </is>
      </c>
      <c r="F21" s="66">
        <f>B21*12</f>
        <v/>
      </c>
    </row>
    <row r="22" ht="28" customHeight="1">
      <c r="A22" s="63" t="inlineStr">
        <is>
          <t>EV insurance</t>
        </is>
      </c>
      <c r="B22" s="64" t="n">
        <v>0</v>
      </c>
      <c r="C22" s="50" t="inlineStr">
        <is>
          <t>Fixed</t>
        </is>
      </c>
      <c r="D22" s="50" t="inlineStr">
        <is>
          <t>Ignored</t>
        </is>
      </c>
      <c r="E22" s="56" t="inlineStr">
        <is>
          <t>Ignored — not a business cost for this plan.</t>
        </is>
      </c>
      <c r="F22" s="66">
        <f>B22*12</f>
        <v/>
      </c>
    </row>
    <row r="23" ht="28" customHeight="1">
      <c r="A23" s="63" t="inlineStr">
        <is>
          <t>Home / destination charging</t>
        </is>
      </c>
      <c r="B23" s="64" t="n">
        <v>0</v>
      </c>
      <c r="C23" s="50" t="inlineStr">
        <is>
          <t>Variable</t>
        </is>
      </c>
      <c r="D23" s="50" t="inlineStr">
        <is>
          <t>Ignored</t>
        </is>
      </c>
      <c r="E23" s="56" t="inlineStr">
        <is>
          <t>Ignored — not a business cost for this plan.</t>
        </is>
      </c>
      <c r="F23" s="66">
        <f>B23*12</f>
        <v/>
      </c>
    </row>
    <row r="24" ht="28" customHeight="1">
      <c r="A24" s="63" t="inlineStr">
        <is>
          <t>Mobile phone</t>
        </is>
      </c>
      <c r="B24" s="64" t="n">
        <v>45</v>
      </c>
      <c r="C24" s="50" t="inlineStr">
        <is>
          <t>Fixed</t>
        </is>
      </c>
      <c r="D24" s="50" t="inlineStr">
        <is>
          <t>Confirmed</t>
        </is>
      </c>
      <c r="E24" s="56" t="inlineStr">
        <is>
          <t>£45/month — confirmed by Robert.</t>
        </is>
      </c>
      <c r="F24" s="66">
        <f>B24*12</f>
        <v/>
      </c>
    </row>
    <row r="25" ht="28" customHeight="1">
      <c r="A25" s="63" t="inlineStr">
        <is>
          <t>Broadband share</t>
        </is>
      </c>
      <c r="B25" s="64" t="n">
        <v>30</v>
      </c>
      <c r="C25" s="50" t="inlineStr">
        <is>
          <t>Fixed</t>
        </is>
      </c>
      <c r="D25" s="50" t="inlineStr">
        <is>
          <t>Confirmed</t>
        </is>
      </c>
      <c r="E25" s="56" t="inlineStr">
        <is>
          <t>£30 home-office share — left as is by Robert.</t>
        </is>
      </c>
      <c r="F25" s="66">
        <f>B25*12</f>
        <v/>
      </c>
    </row>
    <row r="26" ht="28" customHeight="1">
      <c r="A26" s="63" t="inlineStr">
        <is>
          <t>Office subscription</t>
        </is>
      </c>
      <c r="B26" s="64" t="n">
        <v>30</v>
      </c>
      <c r="C26" s="50" t="inlineStr">
        <is>
          <t>Fixed</t>
        </is>
      </c>
      <c r="D26" s="50" t="inlineStr">
        <is>
          <t>Confirmed</t>
        </is>
      </c>
      <c r="E26" s="56" t="inlineStr">
        <is>
          <t>Office subscription (Robert).</t>
        </is>
      </c>
      <c r="F26" s="66">
        <f>B26*12</f>
        <v/>
      </c>
    </row>
    <row r="27" ht="28" customHeight="1">
      <c r="A27" s="63" t="inlineStr">
        <is>
          <t>Xero</t>
        </is>
      </c>
      <c r="B27" s="64" t="n">
        <v>33</v>
      </c>
      <c r="C27" s="50" t="inlineStr">
        <is>
          <t>Fixed</t>
        </is>
      </c>
      <c r="D27" s="50" t="inlineStr">
        <is>
          <t>Confirmed</t>
        </is>
      </c>
      <c r="E27" s="56" t="inlineStr">
        <is>
          <t>£33/month Xero — confirmed by Robert.</t>
        </is>
      </c>
      <c r="F27" s="66">
        <f>B27*12</f>
        <v/>
      </c>
    </row>
    <row r="28" ht="28" customHeight="1">
      <c r="A28" s="63" t="inlineStr">
        <is>
          <t>Accountant</t>
        </is>
      </c>
      <c r="B28" s="64" t="n">
        <v>150</v>
      </c>
      <c r="C28" s="50" t="inlineStr">
        <is>
          <t>Fixed</t>
        </is>
      </c>
      <c r="D28" s="50" t="inlineStr">
        <is>
          <t>Confirmed</t>
        </is>
      </c>
      <c r="E28" s="56" t="inlineStr">
        <is>
          <t>£150/month accrual — confirmed by Robert.</t>
        </is>
      </c>
      <c r="F28" s="66">
        <f>B28*12</f>
        <v/>
      </c>
    </row>
    <row r="29" ht="28" customHeight="1">
      <c r="A29" s="63" t="inlineStr">
        <is>
          <t>Domain name and website</t>
        </is>
      </c>
      <c r="B29" s="64" t="n">
        <v>14.99</v>
      </c>
      <c r="C29" s="50" t="inlineStr">
        <is>
          <t>Fixed</t>
        </is>
      </c>
      <c r="D29" s="50" t="inlineStr">
        <is>
          <t>Confirmed</t>
        </is>
      </c>
      <c r="E29" s="56" t="inlineStr">
        <is>
          <t>Domain name and website together.</t>
        </is>
      </c>
      <c r="F29" s="66">
        <f>B29*12</f>
        <v/>
      </c>
    </row>
    <row r="30" ht="28" customHeight="1">
      <c r="A30" s="63" t="inlineStr">
        <is>
          <t>Web hosting (included above)</t>
        </is>
      </c>
      <c r="B30" s="64" t="n">
        <v>0</v>
      </c>
      <c r="C30" s="50" t="inlineStr">
        <is>
          <t>Fixed</t>
        </is>
      </c>
      <c r="D30" s="50" t="inlineStr">
        <is>
          <t>Confirmed</t>
        </is>
      </c>
      <c r="E30" s="56" t="inlineStr">
        <is>
          <t>Included in the £14.99 domain/website line.</t>
        </is>
      </c>
      <c r="F30" s="66">
        <f>B30*12</f>
        <v/>
      </c>
    </row>
    <row r="31" ht="28" customHeight="1">
      <c r="A31" s="63" t="inlineStr">
        <is>
          <t>AI package</t>
        </is>
      </c>
      <c r="B31" s="64" t="n">
        <v>72</v>
      </c>
      <c r="C31" s="50" t="inlineStr">
        <is>
          <t>Variable</t>
        </is>
      </c>
      <c r="D31" s="50" t="inlineStr">
        <is>
          <t>Confirmed</t>
        </is>
      </c>
      <c r="E31" s="56" t="inlineStr">
        <is>
          <t>AI package (Robert).</t>
        </is>
      </c>
      <c r="F31" s="66">
        <f>B31*12</f>
        <v/>
      </c>
    </row>
    <row r="32" ht="28" customHeight="1">
      <c r="A32" s="63" t="inlineStr">
        <is>
          <t>Marketing / PPC / print</t>
        </is>
      </c>
      <c r="B32" s="64" t="n">
        <v>0</v>
      </c>
      <c r="C32" s="50" t="inlineStr">
        <is>
          <t>Variable</t>
        </is>
      </c>
      <c r="D32" s="50" t="inlineStr">
        <is>
          <t>Confirmed</t>
        </is>
      </c>
      <c r="E32" s="56" t="inlineStr">
        <is>
          <t>Set to £0 by Robert.</t>
        </is>
      </c>
      <c r="F32" s="66">
        <f>B32*12</f>
        <v/>
      </c>
    </row>
    <row r="33" ht="28" customHeight="1">
      <c r="A33" s="63" t="inlineStr">
        <is>
          <t>Client gifts / thank-yous</t>
        </is>
      </c>
      <c r="B33" s="64" t="n">
        <v>0</v>
      </c>
      <c r="C33" s="50" t="inlineStr">
        <is>
          <t>Variable</t>
        </is>
      </c>
      <c r="D33" s="50" t="inlineStr">
        <is>
          <t>Confirmed</t>
        </is>
      </c>
      <c r="E33" s="56" t="inlineStr">
        <is>
          <t>Set to £0 by Robert.</t>
        </is>
      </c>
      <c r="F33" s="66">
        <f>B33*12</f>
        <v/>
      </c>
    </row>
    <row r="34" ht="28" customHeight="1">
      <c r="A34" s="63" t="inlineStr">
        <is>
          <t>Business bank</t>
        </is>
      </c>
      <c r="B34" s="64" t="n">
        <v>10</v>
      </c>
      <c r="C34" s="50" t="inlineStr">
        <is>
          <t>Fixed</t>
        </is>
      </c>
      <c r="D34" s="50" t="inlineStr">
        <is>
          <t>Confirmed</t>
        </is>
      </c>
      <c r="E34" s="56" t="inlineStr">
        <is>
          <t>£10/month bank fees — confirmed by Robert.</t>
        </is>
      </c>
      <c r="F34" s="66">
        <f>B34*12</f>
        <v/>
      </c>
    </row>
    <row r="35" ht="28" customHeight="1">
      <c r="A35" s="63" t="inlineStr">
        <is>
          <t>CII membership / CPD</t>
        </is>
      </c>
      <c r="B35" s="64" t="n">
        <v>0</v>
      </c>
      <c r="C35" s="50" t="inlineStr">
        <is>
          <t>Fixed</t>
        </is>
      </c>
      <c r="D35" s="50" t="inlineStr">
        <is>
          <t>N/A</t>
        </is>
      </c>
      <c r="E35" s="56" t="inlineStr">
        <is>
          <t>Not applicable — set to £0 by Robert.</t>
        </is>
      </c>
      <c r="F35" s="66">
        <f>B35*12</f>
        <v/>
      </c>
    </row>
    <row r="36" ht="28" customHeight="1">
      <c r="A36" s="63" t="inlineStr">
        <is>
          <t>Laptop (monthly)</t>
        </is>
      </c>
      <c r="B36" s="64" t="n">
        <v>50</v>
      </c>
      <c r="C36" s="50" t="inlineStr">
        <is>
          <t>Variable</t>
        </is>
      </c>
      <c r="D36" s="50" t="inlineStr">
        <is>
          <t>Confirmed</t>
        </is>
      </c>
      <c r="E36" s="56" t="inlineStr">
        <is>
          <t>Laptop on a monthly basis (Robert).</t>
        </is>
      </c>
      <c r="F36" s="66">
        <f>B36*12</f>
        <v/>
      </c>
    </row>
    <row r="37" ht="28" customHeight="1">
      <c r="A37" s="63" t="inlineStr">
        <is>
          <t>Contingency</t>
        </is>
      </c>
      <c r="B37" s="64" t="n">
        <v>100</v>
      </c>
      <c r="C37" s="50" t="inlineStr">
        <is>
          <t>Variable</t>
        </is>
      </c>
      <c r="D37" s="50" t="inlineStr">
        <is>
          <t>Estimate</t>
        </is>
      </c>
      <c r="E37" s="56" t="inlineStr">
        <is>
          <t>Buffer for forgotten small costs.</t>
        </is>
      </c>
      <c r="F37" s="66">
        <f>B37*12</f>
        <v/>
      </c>
    </row>
    <row r="38" ht="24" customHeight="1">
      <c r="A38" s="72" t="inlineStr">
        <is>
          <t>TOTAL monthly operating costs</t>
        </is>
      </c>
      <c r="B38" s="73">
        <f>SUM(B20:B37)</f>
        <v/>
      </c>
      <c r="C38" s="67" t="inlineStr"/>
      <c r="D38" s="67" t="inlineStr"/>
      <c r="E38" s="67" t="inlineStr">
        <is>
          <t>Updates when any yellow monthly amount changes.</t>
        </is>
      </c>
      <c r="F38" s="73">
        <f>B38*12</f>
        <v/>
      </c>
    </row>
    <row r="40" ht="22" customHeight="1">
      <c r="A40" s="60" t="inlineStr">
        <is>
          <t>3. One-off launch costs (not in the monthly run-rate)</t>
        </is>
      </c>
      <c r="B40" s="52" t="n"/>
      <c r="C40" s="52" t="n"/>
      <c r="D40" s="52" t="n"/>
      <c r="E40" s="52" t="n"/>
      <c r="F40" s="53" t="n"/>
    </row>
    <row r="41">
      <c r="A41" s="62" t="inlineStr">
        <is>
          <t>Item</t>
        </is>
      </c>
      <c r="B41" s="62" t="inlineStr">
        <is>
          <t>Amount £</t>
        </is>
      </c>
      <c r="C41" s="62" t="inlineStr">
        <is>
          <t>Type</t>
        </is>
      </c>
      <c r="D41" s="62" t="inlineStr">
        <is>
          <t>Status</t>
        </is>
      </c>
      <c r="E41" s="62" t="inlineStr">
        <is>
          <t>Notes</t>
        </is>
      </c>
      <c r="F41" s="62" t="inlineStr">
        <is>
          <t>In 12-month cash view?</t>
        </is>
      </c>
    </row>
    <row r="42" ht="28" customHeight="1">
      <c r="A42" s="63" t="inlineStr">
        <is>
          <t>Laptop</t>
        </is>
      </c>
      <c r="B42" s="70" t="n">
        <v>0</v>
      </c>
      <c r="C42" s="50" t="inlineStr">
        <is>
          <t>One-off</t>
        </is>
      </c>
      <c r="D42" s="50" t="inlineStr">
        <is>
          <t>Moved</t>
        </is>
      </c>
      <c r="E42" s="56" t="inlineStr">
        <is>
          <t>Laptop is £50/month in operating costs, not a one-off.</t>
        </is>
      </c>
      <c r="F42" s="56" t="inlineStr">
        <is>
          <t>Jan cash outflow</t>
        </is>
      </c>
    </row>
    <row r="43" ht="28" customHeight="1">
      <c r="A43" s="63" t="inlineStr">
        <is>
          <t>Website build</t>
        </is>
      </c>
      <c r="B43" s="70" t="n">
        <v>0</v>
      </c>
      <c r="C43" s="50" t="inlineStr">
        <is>
          <t>One-off</t>
        </is>
      </c>
      <c r="D43" s="50" t="inlineStr">
        <is>
          <t>Included</t>
        </is>
      </c>
      <c r="E43" s="56" t="inlineStr">
        <is>
          <t>Website is in the £14.99 monthly domain/website line.</t>
        </is>
      </c>
      <c r="F43" s="56" t="inlineStr">
        <is>
          <t>Jan cash outflow</t>
        </is>
      </c>
    </row>
    <row r="44" ht="28" customHeight="1">
      <c r="A44" s="63" t="inlineStr">
        <is>
          <t>Company formation</t>
        </is>
      </c>
      <c r="B44" s="64" t="n">
        <v>480</v>
      </c>
      <c r="C44" s="50" t="inlineStr">
        <is>
          <t>One-off</t>
        </is>
      </c>
      <c r="D44" s="50" t="inlineStr">
        <is>
          <t>Confirmed</t>
        </is>
      </c>
      <c r="E44" s="56" t="inlineStr">
        <is>
          <t>£400 + VAT for business registration and setup.</t>
        </is>
      </c>
      <c r="F44" s="56" t="inlineStr">
        <is>
          <t>Jan cash outflow</t>
        </is>
      </c>
    </row>
    <row r="45" ht="28" customHeight="1">
      <c r="A45" s="63" t="inlineStr">
        <is>
          <t>Branding / ID / cards</t>
        </is>
      </c>
      <c r="B45" s="70" t="n"/>
      <c r="C45" s="50" t="inlineStr">
        <is>
          <t>One-off</t>
        </is>
      </c>
      <c r="D45" s="50" t="inlineStr">
        <is>
          <t>TBC</t>
        </is>
      </c>
      <c r="E45" s="56" t="inlineStr">
        <is>
          <t>Leave blank until quoted.</t>
        </is>
      </c>
      <c r="F45" s="56" t="inlineStr">
        <is>
          <t>Jan cash outflow if entered</t>
        </is>
      </c>
    </row>
    <row r="46" ht="24" customHeight="1">
      <c r="A46" s="72" t="inlineStr">
        <is>
          <t>TOTAL one-off launch costs</t>
        </is>
      </c>
      <c r="B46" s="74">
        <f>SUM(B42:B45)</f>
        <v/>
      </c>
      <c r="C46" s="67" t="inlineStr"/>
      <c r="D46" s="67" t="inlineStr"/>
      <c r="E46" s="67" t="inlineStr">
        <is>
          <t>Website may be grant-funded — overwrite B43 to 0 if so.</t>
        </is>
      </c>
      <c r="F46" s="74">
        <f>B46</f>
        <v/>
      </c>
    </row>
    <row r="48" ht="22" customHeight="1">
      <c r="A48" s="60" t="inlineStr">
        <is>
          <t>4. Cash income bridge (steady-state month — written is not cash)</t>
        </is>
      </c>
      <c r="B48" s="52" t="n"/>
      <c r="C48" s="52" t="n"/>
      <c r="D48" s="52" t="n"/>
      <c r="E48" s="52" t="n"/>
      <c r="F48" s="53" t="n"/>
    </row>
    <row r="49">
      <c r="A49" s="62" t="inlineStr">
        <is>
          <t>Line</t>
        </is>
      </c>
      <c r="B49" s="62" t="inlineStr">
        <is>
          <t>Monthly £</t>
        </is>
      </c>
      <c r="C49" s="62" t="inlineStr">
        <is>
          <t>Annual £</t>
        </is>
      </c>
      <c r="D49" s="62" t="inlineStr">
        <is>
          <t>Notes</t>
        </is>
      </c>
      <c r="E49" s="62" t="inlineStr">
        <is>
          <t>Formula / source</t>
        </is>
      </c>
    </row>
    <row r="50" ht="26" customHeight="1">
      <c r="A50" s="63" t="inlineStr">
        <is>
          <t>Mortgage written (Financial Plan default)</t>
        </is>
      </c>
      <c r="B50" s="75">
        <f>'Financial Plan'!B7</f>
        <v/>
      </c>
      <c r="C50" s="75">
        <f>B50*12</f>
        <v/>
      </c>
      <c r="D50" s="56" t="inlineStr">
        <is>
          <t>Written lending, not cash. Kept as the plan target.</t>
        </is>
      </c>
      <c r="E50" s="56" t="inlineStr">
        <is>
          <t>Financial Plan B7</t>
        </is>
      </c>
    </row>
    <row r="51" ht="26" customHeight="1">
      <c r="A51" s="63" t="inlineStr">
        <is>
          <t>Mortgage cash commission</t>
        </is>
      </c>
      <c r="B51" s="66">
        <f>B50*$B$12*(1-$B$10)</f>
        <v/>
      </c>
      <c r="C51" s="66">
        <f>C50*$B$12*(1-$B$10)</f>
        <v/>
      </c>
      <c r="D51" s="56" t="inlineStr">
        <is>
          <t>Written × proc % × (1 − 10% retention).</t>
        </is>
      </c>
      <c r="E51" s="56" t="inlineStr">
        <is>
          <t>B50 × B12 × (1−B10)</t>
        </is>
      </c>
    </row>
    <row r="52" ht="26" customHeight="1">
      <c r="A52" s="63" t="inlineStr">
        <is>
          <t>Protection cash commission (after retention)</t>
        </is>
      </c>
      <c r="B52" s="66">
        <f>$B$13*(1-$B$11)</f>
        <v/>
      </c>
      <c r="C52" s="66">
        <f>B52*12</f>
        <v/>
      </c>
      <c r="D52" s="56" t="inlineStr">
        <is>
          <t>Uses the £3,000 cash assumption — not £240k written.</t>
        </is>
      </c>
      <c r="E52" s="56" t="inlineStr">
        <is>
          <t>B13 × (1−B11)</t>
        </is>
      </c>
    </row>
    <row r="53" ht="26" customHeight="1">
      <c r="A53" s="63" t="inlineStr">
        <is>
          <t>Other Income (Financial Plan default)</t>
        </is>
      </c>
      <c r="B53" s="66">
        <f>'Financial Plan'!B9</f>
        <v/>
      </c>
      <c r="C53" s="66">
        <f>B53*12</f>
        <v/>
      </c>
      <c r="D53" s="56" t="inlineStr">
        <is>
          <t>GI / referrals / Beanstalk starter (£1,500).</t>
        </is>
      </c>
      <c r="E53" s="56" t="inlineStr">
        <is>
          <t>Financial Plan B9</t>
        </is>
      </c>
    </row>
    <row r="54" ht="26" customHeight="1">
      <c r="A54" s="72" t="inlineStr">
        <is>
          <t>TOTAL cash in</t>
        </is>
      </c>
      <c r="B54" s="73">
        <f>B51+B52+B53</f>
        <v/>
      </c>
      <c r="C54" s="73">
        <f>C51+C52+C53</f>
        <v/>
      </c>
      <c r="D54" s="56" t="inlineStr">
        <is>
          <t>Steady-state, before operating costs.</t>
        </is>
      </c>
      <c r="E54" s="56" t="inlineStr">
        <is>
          <t>Sum of cash lines</t>
        </is>
      </c>
    </row>
    <row r="55" ht="26" customHeight="1">
      <c r="A55" s="63" t="inlineStr">
        <is>
          <t>Monthly operating costs</t>
        </is>
      </c>
      <c r="B55" s="66">
        <f>B38</f>
        <v/>
      </c>
      <c r="C55" s="66">
        <f>F38</f>
        <v/>
      </c>
      <c r="D55" s="56" t="inlineStr">
        <is>
          <t>From section 2 total.</t>
        </is>
      </c>
      <c r="E55" s="56" t="inlineStr">
        <is>
          <t>B38</t>
        </is>
      </c>
    </row>
    <row r="56" ht="26" customHeight="1">
      <c r="A56" s="72" t="inlineStr">
        <is>
          <t>Net cash (steady-state)</t>
        </is>
      </c>
      <c r="B56" s="73">
        <f>B54-B55</f>
        <v/>
      </c>
      <c r="C56" s="73">
        <f>C54-C55</f>
        <v/>
      </c>
      <c r="D56" s="56" t="inlineStr">
        <is>
          <t>Compare with the £80–120k ambition.</t>
        </is>
      </c>
      <c r="E56" s="56" t="inlineStr">
        <is>
          <t>Cash in − opex</t>
        </is>
      </c>
    </row>
    <row r="57" ht="26" customHeight="1">
      <c r="A57" s="63" t="inlineStr">
        <is>
          <t>Ambition low (£80,000)</t>
        </is>
      </c>
      <c r="B57" s="66">
        <f>$B$14/12</f>
        <v/>
      </c>
      <c r="C57" s="66">
        <f>$B$14</f>
        <v/>
      </c>
      <c r="D57" s="56" t="inlineStr">
        <is>
          <t>20 Aug consult — low end.</t>
        </is>
      </c>
      <c r="E57" s="56" t="inlineStr">
        <is>
          <t>B14</t>
        </is>
      </c>
    </row>
    <row r="58" ht="26" customHeight="1">
      <c r="A58" s="63" t="inlineStr">
        <is>
          <t>Ambition high (£120,000)</t>
        </is>
      </c>
      <c r="B58" s="66">
        <f>$B$15/12</f>
        <v/>
      </c>
      <c r="C58" s="66">
        <f>$B$15</f>
        <v/>
      </c>
      <c r="D58" s="56" t="inlineStr">
        <is>
          <t>20 Aug consult — high end.</t>
        </is>
      </c>
      <c r="E58" s="56" t="inlineStr">
        <is>
          <t>B15</t>
        </is>
      </c>
    </row>
    <row r="59" ht="26" customHeight="1">
      <c r="A59" s="72" t="inlineStr">
        <is>
          <t>Gap vs low ambition</t>
        </is>
      </c>
      <c r="B59" s="73">
        <f>B56-B57</f>
        <v/>
      </c>
      <c r="C59" s="73">
        <f>C56-C57</f>
        <v/>
      </c>
      <c r="D59" s="56" t="inlineStr">
        <is>
          <t>Negative means the current assumptions miss £80k.</t>
        </is>
      </c>
      <c r="E59" s="56" t="inlineStr">
        <is>
          <t>Net − low ambition</t>
        </is>
      </c>
    </row>
    <row r="60" ht="26" customHeight="1">
      <c r="A60" s="72" t="inlineStr">
        <is>
          <t>Gap vs high ambition</t>
        </is>
      </c>
      <c r="B60" s="73">
        <f>B56-B58</f>
        <v/>
      </c>
      <c r="C60" s="73">
        <f>C56-C58</f>
        <v/>
      </c>
      <c r="D60" s="56" t="inlineStr">
        <is>
          <t>Shows how far the current mix is from £120k.</t>
        </is>
      </c>
      <c r="E60" s="56" t="inlineStr">
        <is>
          <t>Net − high ambition</t>
        </is>
      </c>
    </row>
    <row r="63" ht="22" customHeight="1">
      <c r="A63" s="60" t="inlineStr">
        <is>
          <t>5. 2027 twelve-month cost / net cash view (2-month lag on mortgage and protection cash)</t>
        </is>
      </c>
      <c r="B63" s="52" t="n"/>
      <c r="C63" s="52" t="n"/>
      <c r="D63" s="52" t="n"/>
      <c r="E63" s="52" t="n"/>
      <c r="F63" s="52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3" t="n"/>
    </row>
    <row r="64" ht="22" customHeight="1">
      <c r="A64" s="62" t="inlineStr">
        <is>
          <t>Line</t>
        </is>
      </c>
      <c r="B64" s="62" t="inlineStr">
        <is>
          <t>Jan</t>
        </is>
      </c>
      <c r="C64" s="62" t="inlineStr">
        <is>
          <t>Feb</t>
        </is>
      </c>
      <c r="D64" s="62" t="inlineStr">
        <is>
          <t>Mar</t>
        </is>
      </c>
      <c r="E64" s="62" t="inlineStr">
        <is>
          <t>Apr</t>
        </is>
      </c>
      <c r="F64" s="62" t="inlineStr">
        <is>
          <t>May</t>
        </is>
      </c>
      <c r="G64" s="62" t="inlineStr">
        <is>
          <t>Jun</t>
        </is>
      </c>
      <c r="H64" s="62" t="inlineStr">
        <is>
          <t>Jul</t>
        </is>
      </c>
      <c r="I64" s="62" t="inlineStr">
        <is>
          <t>Aug</t>
        </is>
      </c>
      <c r="J64" s="62" t="inlineStr">
        <is>
          <t>Sep</t>
        </is>
      </c>
      <c r="K64" s="62" t="inlineStr">
        <is>
          <t>Oct</t>
        </is>
      </c>
      <c r="L64" s="62" t="inlineStr">
        <is>
          <t>Nov</t>
        </is>
      </c>
      <c r="M64" s="62" t="inlineStr">
        <is>
          <t>Dec</t>
        </is>
      </c>
      <c r="N64" s="62" t="inlineStr">
        <is>
          <t>Annual</t>
        </is>
      </c>
    </row>
    <row r="65" ht="22" customHeight="1">
      <c r="A65" s="63" t="inlineStr">
        <is>
          <t>Mortgage written (Financial Plan)</t>
        </is>
      </c>
      <c r="B65" s="75">
        <f>'Financial Plan'!D13</f>
        <v/>
      </c>
      <c r="C65" s="75">
        <f>'Financial Plan'!E13</f>
        <v/>
      </c>
      <c r="D65" s="75">
        <f>'Financial Plan'!F13</f>
        <v/>
      </c>
      <c r="E65" s="75">
        <f>'Financial Plan'!G13</f>
        <v/>
      </c>
      <c r="F65" s="75">
        <f>'Financial Plan'!H13</f>
        <v/>
      </c>
      <c r="G65" s="75">
        <f>'Financial Plan'!I13</f>
        <v/>
      </c>
      <c r="H65" s="75">
        <f>'Financial Plan'!J13</f>
        <v/>
      </c>
      <c r="I65" s="75">
        <f>'Financial Plan'!K13</f>
        <v/>
      </c>
      <c r="J65" s="75">
        <f>'Financial Plan'!L13</f>
        <v/>
      </c>
      <c r="K65" s="75">
        <f>'Financial Plan'!M13</f>
        <v/>
      </c>
      <c r="L65" s="75">
        <f>'Financial Plan'!N13</f>
        <v/>
      </c>
      <c r="M65" s="75">
        <f>'Financial Plan'!O13</f>
        <v/>
      </c>
      <c r="N65" s="75">
        <f>SUM(B65:M65)</f>
        <v/>
      </c>
    </row>
    <row r="66" ht="22" customHeight="1">
      <c r="A66" s="63" t="inlineStr">
        <is>
          <t>Mortgage cash (after 10% retention, lagged)</t>
        </is>
      </c>
      <c r="B66" s="66">
        <f>IF(1&lt;=$B$16,0,INDEX('Financial Plan'!$D$13:$O$13,1-$B$16)*$B$12*(1-$B$10))</f>
        <v/>
      </c>
      <c r="C66" s="66">
        <f>IF(2&lt;=$B$16,0,INDEX('Financial Plan'!$D$13:$O$13,2-$B$16)*$B$12*(1-$B$10))</f>
        <v/>
      </c>
      <c r="D66" s="66">
        <f>IF(3&lt;=$B$16,0,INDEX('Financial Plan'!$D$13:$O$13,3-$B$16)*$B$12*(1-$B$10))</f>
        <v/>
      </c>
      <c r="E66" s="66">
        <f>IF(4&lt;=$B$16,0,INDEX('Financial Plan'!$D$13:$O$13,4-$B$16)*$B$12*(1-$B$10))</f>
        <v/>
      </c>
      <c r="F66" s="66">
        <f>IF(5&lt;=$B$16,0,INDEX('Financial Plan'!$D$13:$O$13,5-$B$16)*$B$12*(1-$B$10))</f>
        <v/>
      </c>
      <c r="G66" s="66">
        <f>IF(6&lt;=$B$16,0,INDEX('Financial Plan'!$D$13:$O$13,6-$B$16)*$B$12*(1-$B$10))</f>
        <v/>
      </c>
      <c r="H66" s="66">
        <f>IF(7&lt;=$B$16,0,INDEX('Financial Plan'!$D$13:$O$13,7-$B$16)*$B$12*(1-$B$10))</f>
        <v/>
      </c>
      <c r="I66" s="66">
        <f>IF(8&lt;=$B$16,0,INDEX('Financial Plan'!$D$13:$O$13,8-$B$16)*$B$12*(1-$B$10))</f>
        <v/>
      </c>
      <c r="J66" s="66">
        <f>IF(9&lt;=$B$16,0,INDEX('Financial Plan'!$D$13:$O$13,9-$B$16)*$B$12*(1-$B$10))</f>
        <v/>
      </c>
      <c r="K66" s="66">
        <f>IF(10&lt;=$B$16,0,INDEX('Financial Plan'!$D$13:$O$13,10-$B$16)*$B$12*(1-$B$10))</f>
        <v/>
      </c>
      <c r="L66" s="66">
        <f>IF(11&lt;=$B$16,0,INDEX('Financial Plan'!$D$13:$O$13,11-$B$16)*$B$12*(1-$B$10))</f>
        <v/>
      </c>
      <c r="M66" s="66">
        <f>IF(12&lt;=$B$16,0,INDEX('Financial Plan'!$D$13:$O$13,12-$B$16)*$B$12*(1-$B$10))</f>
        <v/>
      </c>
      <c r="N66" s="66">
        <f>SUM(B66:M66)</f>
        <v/>
      </c>
    </row>
    <row r="67" ht="22" customHeight="1">
      <c r="A67" s="63" t="inlineStr">
        <is>
          <t>Protection cash (after 15% retention, lagged)</t>
        </is>
      </c>
      <c r="B67" s="66">
        <f>IF(1&lt;=$B$16,0,$B$13*(1-$B$11))</f>
        <v/>
      </c>
      <c r="C67" s="66">
        <f>IF(2&lt;=$B$16,0,$B$13*(1-$B$11))</f>
        <v/>
      </c>
      <c r="D67" s="66">
        <f>IF(3&lt;=$B$16,0,$B$13*(1-$B$11))</f>
        <v/>
      </c>
      <c r="E67" s="66">
        <f>IF(4&lt;=$B$16,0,$B$13*(1-$B$11))</f>
        <v/>
      </c>
      <c r="F67" s="66">
        <f>IF(5&lt;=$B$16,0,$B$13*(1-$B$11))</f>
        <v/>
      </c>
      <c r="G67" s="66">
        <f>IF(6&lt;=$B$16,0,$B$13*(1-$B$11))</f>
        <v/>
      </c>
      <c r="H67" s="66">
        <f>IF(7&lt;=$B$16,0,$B$13*(1-$B$11))</f>
        <v/>
      </c>
      <c r="I67" s="66">
        <f>IF(8&lt;=$B$16,0,$B$13*(1-$B$11))</f>
        <v/>
      </c>
      <c r="J67" s="66">
        <f>IF(9&lt;=$B$16,0,$B$13*(1-$B$11))</f>
        <v/>
      </c>
      <c r="K67" s="66">
        <f>IF(10&lt;=$B$16,0,$B$13*(1-$B$11))</f>
        <v/>
      </c>
      <c r="L67" s="66">
        <f>IF(11&lt;=$B$16,0,$B$13*(1-$B$11))</f>
        <v/>
      </c>
      <c r="M67" s="66">
        <f>IF(12&lt;=$B$16,0,$B$13*(1-$B$11))</f>
        <v/>
      </c>
      <c r="N67" s="66">
        <f>SUM(B67:M67)</f>
        <v/>
      </c>
    </row>
    <row r="68" ht="22" customHeight="1">
      <c r="A68" s="63" t="inlineStr">
        <is>
          <t>Other Income (Financial Plan)</t>
        </is>
      </c>
      <c r="B68" s="66">
        <f>'Financial Plan'!D15</f>
        <v/>
      </c>
      <c r="C68" s="66">
        <f>'Financial Plan'!E15</f>
        <v/>
      </c>
      <c r="D68" s="66">
        <f>'Financial Plan'!F15</f>
        <v/>
      </c>
      <c r="E68" s="66">
        <f>'Financial Plan'!G15</f>
        <v/>
      </c>
      <c r="F68" s="66">
        <f>'Financial Plan'!H15</f>
        <v/>
      </c>
      <c r="G68" s="66">
        <f>'Financial Plan'!I15</f>
        <v/>
      </c>
      <c r="H68" s="66">
        <f>'Financial Plan'!J15</f>
        <v/>
      </c>
      <c r="I68" s="66">
        <f>'Financial Plan'!K15</f>
        <v/>
      </c>
      <c r="J68" s="66">
        <f>'Financial Plan'!L15</f>
        <v/>
      </c>
      <c r="K68" s="66">
        <f>'Financial Plan'!M15</f>
        <v/>
      </c>
      <c r="L68" s="66">
        <f>'Financial Plan'!N15</f>
        <v/>
      </c>
      <c r="M68" s="66">
        <f>'Financial Plan'!O15</f>
        <v/>
      </c>
      <c r="N68" s="66">
        <f>SUM(B68:M68)</f>
        <v/>
      </c>
    </row>
    <row r="69" ht="22" customHeight="1">
      <c r="A69" s="72" t="inlineStr">
        <is>
          <t>Total cash in</t>
        </is>
      </c>
      <c r="B69" s="73">
        <f>B66+B67+B68</f>
        <v/>
      </c>
      <c r="C69" s="73">
        <f>C66+C67+C68</f>
        <v/>
      </c>
      <c r="D69" s="73">
        <f>D66+D67+D68</f>
        <v/>
      </c>
      <c r="E69" s="73">
        <f>E66+E67+E68</f>
        <v/>
      </c>
      <c r="F69" s="73">
        <f>F66+F67+F68</f>
        <v/>
      </c>
      <c r="G69" s="73">
        <f>G66+G67+G68</f>
        <v/>
      </c>
      <c r="H69" s="73">
        <f>H66+H67+H68</f>
        <v/>
      </c>
      <c r="I69" s="73">
        <f>I66+I67+I68</f>
        <v/>
      </c>
      <c r="J69" s="73">
        <f>J66+J67+J68</f>
        <v/>
      </c>
      <c r="K69" s="73">
        <f>K66+K67+K68</f>
        <v/>
      </c>
      <c r="L69" s="73">
        <f>L66+L67+L68</f>
        <v/>
      </c>
      <c r="M69" s="73">
        <f>M66+M67+M68</f>
        <v/>
      </c>
      <c r="N69" s="73">
        <f>SUM(B69:M69)</f>
        <v/>
      </c>
    </row>
    <row r="70" ht="22" customHeight="1">
      <c r="A70" s="63" t="inlineStr">
        <is>
          <t>Operating costs</t>
        </is>
      </c>
      <c r="B70" s="66">
        <f>$B$38</f>
        <v/>
      </c>
      <c r="C70" s="66">
        <f>$B$38</f>
        <v/>
      </c>
      <c r="D70" s="66">
        <f>$B$38</f>
        <v/>
      </c>
      <c r="E70" s="66">
        <f>$B$38</f>
        <v/>
      </c>
      <c r="F70" s="66">
        <f>$B$38</f>
        <v/>
      </c>
      <c r="G70" s="66">
        <f>$B$38</f>
        <v/>
      </c>
      <c r="H70" s="66">
        <f>$B$38</f>
        <v/>
      </c>
      <c r="I70" s="66">
        <f>$B$38</f>
        <v/>
      </c>
      <c r="J70" s="66">
        <f>$B$38</f>
        <v/>
      </c>
      <c r="K70" s="66">
        <f>$B$38</f>
        <v/>
      </c>
      <c r="L70" s="66">
        <f>$B$38</f>
        <v/>
      </c>
      <c r="M70" s="66">
        <f>$B$38</f>
        <v/>
      </c>
      <c r="N70" s="66">
        <f>SUM(B70:M70)</f>
        <v/>
      </c>
    </row>
    <row r="71" ht="22" customHeight="1">
      <c r="A71" s="63" t="inlineStr">
        <is>
          <t>One-off launch costs (Jan)</t>
        </is>
      </c>
      <c r="B71" s="75">
        <f>$B$46</f>
        <v/>
      </c>
      <c r="C71" s="75" t="n">
        <v>0</v>
      </c>
      <c r="D71" s="75" t="n">
        <v>0</v>
      </c>
      <c r="E71" s="75" t="n">
        <v>0</v>
      </c>
      <c r="F71" s="75" t="n">
        <v>0</v>
      </c>
      <c r="G71" s="75" t="n">
        <v>0</v>
      </c>
      <c r="H71" s="75" t="n">
        <v>0</v>
      </c>
      <c r="I71" s="75" t="n">
        <v>0</v>
      </c>
      <c r="J71" s="75" t="n">
        <v>0</v>
      </c>
      <c r="K71" s="75" t="n">
        <v>0</v>
      </c>
      <c r="L71" s="75" t="n">
        <v>0</v>
      </c>
      <c r="M71" s="75" t="n">
        <v>0</v>
      </c>
      <c r="N71" s="75">
        <f>SUM(B71:M71)</f>
        <v/>
      </c>
    </row>
    <row r="72" ht="22" customHeight="1">
      <c r="A72" s="72" t="inlineStr">
        <is>
          <t>Net cash</t>
        </is>
      </c>
      <c r="B72" s="73">
        <f>B69-B70-B71</f>
        <v/>
      </c>
      <c r="C72" s="73">
        <f>C69-C70-C71</f>
        <v/>
      </c>
      <c r="D72" s="73">
        <f>D69-D70-D71</f>
        <v/>
      </c>
      <c r="E72" s="73">
        <f>E69-E70-E71</f>
        <v/>
      </c>
      <c r="F72" s="73">
        <f>F69-F70-F71</f>
        <v/>
      </c>
      <c r="G72" s="73">
        <f>G69-G70-G71</f>
        <v/>
      </c>
      <c r="H72" s="73">
        <f>H69-H70-H71</f>
        <v/>
      </c>
      <c r="I72" s="73">
        <f>I69-I70-I71</f>
        <v/>
      </c>
      <c r="J72" s="73">
        <f>J69-J70-J71</f>
        <v/>
      </c>
      <c r="K72" s="73">
        <f>K69-K70-K71</f>
        <v/>
      </c>
      <c r="L72" s="73">
        <f>L69-L70-L71</f>
        <v/>
      </c>
      <c r="M72" s="73">
        <f>M69-M70-M71</f>
        <v/>
      </c>
      <c r="N72" s="73">
        <f>SUM(B72:M72)</f>
        <v/>
      </c>
    </row>
    <row r="73" ht="22" customHeight="1">
      <c r="A73" s="72" t="inlineStr">
        <is>
          <t>Cumulative net cash</t>
        </is>
      </c>
      <c r="B73" s="73">
        <f>B72</f>
        <v/>
      </c>
      <c r="C73" s="73">
        <f>B73+C72</f>
        <v/>
      </c>
      <c r="D73" s="73">
        <f>C73+D72</f>
        <v/>
      </c>
      <c r="E73" s="73">
        <f>D73+E72</f>
        <v/>
      </c>
      <c r="F73" s="73">
        <f>E73+F72</f>
        <v/>
      </c>
      <c r="G73" s="73">
        <f>F73+G72</f>
        <v/>
      </c>
      <c r="H73" s="73">
        <f>G73+H72</f>
        <v/>
      </c>
      <c r="I73" s="73">
        <f>H73+I72</f>
        <v/>
      </c>
      <c r="J73" s="73">
        <f>I73+J72</f>
        <v/>
      </c>
      <c r="K73" s="73">
        <f>J73+K72</f>
        <v/>
      </c>
      <c r="L73" s="73">
        <f>K73+L72</f>
        <v/>
      </c>
      <c r="M73" s="73">
        <f>L73+M72</f>
        <v/>
      </c>
      <c r="N73" s="73">
        <f>M73</f>
        <v/>
      </c>
    </row>
    <row r="75">
      <c r="A75" s="60" t="inlineStr">
        <is>
          <t>6. Notes for Bob</t>
        </is>
      </c>
      <c r="B75" s="52" t="n"/>
      <c r="C75" s="52" t="n"/>
      <c r="D75" s="52" t="n"/>
      <c r="E75" s="52" t="n"/>
      <c r="F75" s="52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3" t="n"/>
    </row>
    <row r="76" ht="28" customHeight="1">
      <c r="A76" s="56" t="inlineStr">
        <is>
          <t>Tesla Model Y lease amount is unknown — the £550 line is an estimate. Overwrite B21. Transfer to a company needs lessor approval.</t>
        </is>
      </c>
      <c r="B76" s="52" t="n"/>
      <c r="C76" s="52" t="n"/>
      <c r="D76" s="52" t="n"/>
      <c r="E76" s="52" t="n"/>
      <c r="F76" s="52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3" t="n"/>
    </row>
    <row r="77" ht="28" customHeight="1">
      <c r="A77" s="77" t="inlineStr">
        <is>
          <t>Website build (~£2,500) may be Business Gateway funded (3 Sep 2026). Set B43 to 0 if a grant covers it.</t>
        </is>
      </c>
      <c r="B77" s="52" t="n"/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3" t="n"/>
    </row>
    <row r="78" ht="28" customHeight="1">
      <c r="A78" s="56" t="inlineStr">
        <is>
          <t>First-year cash is tight until introducers convert. Rosemount (2 Sep): the first year is the hardest — stay proactive on activity.</t>
        </is>
      </c>
      <c r="B78" s="52" t="n"/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3" t="n"/>
    </row>
    <row r="79" ht="28" customHeight="1">
      <c r="A79" s="77" t="inlineStr">
        <is>
          <t>Yellow cells are for you to overwrite: FCA number once appointed (Business Overview), Tesla lease, lead volumes, close rates, L&amp;G if any, proc %, protection cash, and every estimate cost.</t>
        </is>
      </c>
      <c r="B79" s="52" t="n"/>
      <c r="C79" s="52" t="n"/>
      <c r="D79" s="52" t="n"/>
      <c r="E79" s="52" t="n"/>
      <c r="F79" s="52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3" t="n"/>
    </row>
    <row r="80" ht="28" customHeight="1">
      <c r="A80" s="56" t="inlineStr">
        <is>
          <t>Protection written £240,000/month on the Financial Plan is a written target, not a cash figure. Cash uses the £3,000/month assumption after 15% retention.</t>
        </is>
      </c>
      <c r="B80" s="52" t="n"/>
      <c r="C80" s="52" t="n"/>
      <c r="D80" s="52" t="n"/>
      <c r="E80" s="52" t="n"/>
      <c r="F80" s="52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3" t="n"/>
    </row>
    <row r="81" ht="28" customHeight="1">
      <c r="A81" s="77" t="inlineStr">
        <is>
          <t>Typical completed mortgage: £180,000–£250,000. Income = 0.35% of that borrowing (confirmed by Robert).</t>
        </is>
      </c>
      <c r="B81" s="52" t="n"/>
      <c r="C81" s="52" t="n"/>
      <c r="D81" s="52" t="n"/>
      <c r="E81" s="52" t="n"/>
      <c r="F81" s="52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3" t="n"/>
    </row>
    <row r="82" ht="28" customHeight="1">
      <c r="A82" s="56" t="inlineStr">
        <is>
          <t>Named sources only (DJ 5–7 + Thorntons 3–7, 1 in 3): about 3–5 completions/month. Mid written ≈ £790k; mid income before network ≈ £2,800.</t>
        </is>
      </c>
      <c r="B82" s="52" t="n"/>
      <c r="C82" s="52" t="n"/>
      <c r="D82" s="52" t="n"/>
      <c r="E82" s="52" t="n"/>
      <c r="F82" s="52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3" t="n"/>
    </row>
    <row r="83" ht="28" customHeight="1">
      <c r="A83" s="77" t="inlineStr">
        <is>
          <t>If TBC system 10–20/week is included at 1 in 3, written jumps to several million a month. Decide whether that sits in the 2027 target.</t>
        </is>
      </c>
      <c r="B83" s="52" t="n"/>
      <c r="C83" s="52" t="n"/>
      <c r="D83" s="52" t="n"/>
      <c r="E83" s="52" t="n"/>
      <c r="F83" s="52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3" t="n"/>
    </row>
    <row r="84" ht="28" customHeight="1">
      <c r="A84" s="56" t="inlineStr">
        <is>
          <t>Duncan &amp; Co FCA number stays TBC. Do not invent one. Host network is Rosemount Financial Solutions (IFA) Ltd FRN 535515.</t>
        </is>
      </c>
      <c r="B84" s="52" t="n"/>
      <c r="C84" s="52" t="n"/>
      <c r="D84" s="52" t="n"/>
      <c r="E84" s="52" t="n"/>
      <c r="F84" s="52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3" t="n"/>
    </row>
  </sheetData>
  <mergeCells count="17">
    <mergeCell ref="A63:P63"/>
    <mergeCell ref="A75:P75"/>
    <mergeCell ref="A76:P76"/>
    <mergeCell ref="A84:P84"/>
    <mergeCell ref="A80:P80"/>
    <mergeCell ref="A1:P2"/>
    <mergeCell ref="A79:P79"/>
    <mergeCell ref="A77:P77"/>
    <mergeCell ref="A83:P83"/>
    <mergeCell ref="A5:E5"/>
    <mergeCell ref="A40:F40"/>
    <mergeCell ref="A18:F18"/>
    <mergeCell ref="A3:P3"/>
    <mergeCell ref="A48:F48"/>
    <mergeCell ref="A78:P78"/>
    <mergeCell ref="A82:P82"/>
    <mergeCell ref="A81:P81"/>
  </mergeCells>
  <dataValidations count="2">
    <dataValidation sqref="C20:C37 C42:C45" showDropDown="0" showInputMessage="0" showErrorMessage="0" allowBlank="1" type="list">
      <formula1>"Fixed,Variable,One-off"</formula1>
    </dataValidation>
    <dataValidation sqref="C7:C16 D20:D37 D42:D45" showDropDown="0" showInputMessage="0" showErrorMessage="0" allowBlank="1" type="list">
      <formula1>"Confirmed,Estimate,TBC,Discussed,Formula,Linked"</formula1>
    </dataValidation>
  </dataValidations>
  <pageMargins left="0.4" right="0.4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40"/>
  <sheetViews>
    <sheetView showGridLines="0" topLeftCell="A2" workbookViewId="0">
      <selection activeCell="A1" sqref="A1:E1"/>
    </sheetView>
  </sheetViews>
  <sheetFormatPr baseColWidth="8" defaultRowHeight="14"/>
  <cols>
    <col width="46" customWidth="1" min="1" max="1"/>
    <col width="3" customWidth="1" min="2" max="2"/>
    <col width="46" customWidth="1" min="3" max="3"/>
    <col width="3" customWidth="1" min="4" max="4"/>
    <col width="46" customWidth="1" min="5" max="5"/>
  </cols>
  <sheetData>
    <row r="1" ht="22" customHeight="1">
      <c r="A1" s="79" t="inlineStr">
        <is>
          <t>2027 Quarterly Planner</t>
        </is>
      </c>
    </row>
    <row r="2" ht="18" customHeight="1"/>
    <row r="3" ht="28" customHeight="1">
      <c r="A3" s="80" t="inlineStr">
        <is>
          <t>Duncan &amp; Co launch year. Keep actions compact. Yellow cells stay editable.</t>
        </is>
      </c>
    </row>
    <row r="4" ht="28" customHeight="1">
      <c r="A4" s="81" t="n"/>
      <c r="B4" s="81" t="n"/>
      <c r="C4" s="81" t="n"/>
      <c r="D4" s="81" t="n"/>
      <c r="E4" s="81" t="n"/>
    </row>
    <row r="5" ht="28" customHeight="1">
      <c r="A5" s="60" t="inlineStr">
        <is>
          <t>Annual goals</t>
        </is>
      </c>
      <c r="B5" s="61" t="n"/>
      <c r="C5" s="60" t="inlineStr">
        <is>
          <t>Q1 — Jan to Mar 2027 (plus residual 2026 launch)</t>
        </is>
      </c>
      <c r="D5" s="61" t="n"/>
      <c r="E5" s="60" t="inlineStr">
        <is>
          <t>Q2 — Apr to Jun 2027</t>
        </is>
      </c>
    </row>
    <row r="6" ht="36" customHeight="1">
      <c r="A6" s="49" t="inlineStr">
        <is>
          <t>Appoint with Rosemount as trading style and launch Duncan &amp; Co (own brand retained)</t>
        </is>
      </c>
      <c r="B6" s="77" t="n"/>
      <c r="C6" s="49" t="inlineStr">
        <is>
          <t>Finish refs, tests and DD; confirm Rosemount appointment (target end Sep 2026 if still open)</t>
        </is>
      </c>
      <c r="D6" s="77" t="n"/>
      <c r="E6" s="49" t="inlineStr">
        <is>
          <t>Review Q1 written vs cash (2-month banking lag)</t>
        </is>
      </c>
    </row>
    <row r="7" ht="36" customHeight="1">
      <c r="A7" s="49" t="inlineStr">
        <is>
          <t>Deliver conversion model: 40 leads → 30 spoken → 10 completions; mortgage written from Financial Plan</t>
        </is>
      </c>
      <c r="B7" s="77" t="n"/>
      <c r="C7" s="49" t="inlineStr">
        <is>
          <t>Sign working SLAs with DJ Alexander and Hannah Fraser</t>
        </is>
      </c>
      <c r="D7" s="77" t="n"/>
      <c r="E7" s="49" t="inlineStr">
        <is>
          <t>Close or park Ralph’s Thayer (Ivan Ralph) outreach</t>
        </is>
      </c>
    </row>
    <row r="8" ht="36" customHeight="1">
      <c r="A8" s="49" t="inlineStr">
        <is>
          <t>Build toward £80–120k year-1 cash after 10% / 15% network retention — see Monthly Costs</t>
        </is>
      </c>
      <c r="B8" s="77" t="n"/>
      <c r="C8" s="49" t="inlineStr">
        <is>
          <t>Website live or Business Gateway grant outcome recorded</t>
        </is>
      </c>
      <c r="D8" s="77" t="n"/>
      <c r="E8" s="49" t="inlineStr">
        <is>
          <t>Measure protection attachment on completions</t>
        </is>
      </c>
    </row>
    <row r="9" ht="36" customHeight="1">
      <c r="A9" s="49" t="inlineStr">
        <is>
          <t>Run DJ Alexander and Thorntons as live introducers; system source TBC toward the 40-lead month</t>
        </is>
      </c>
      <c r="B9" s="77" t="n"/>
      <c r="C9" s="49" t="inlineStr">
        <is>
          <t>Intelligent Office + Mortgage Brain live; write the client journey</t>
        </is>
      </c>
      <c r="D9" s="77" t="n"/>
      <c r="E9" s="49" t="inlineStr">
        <is>
          <t>Accountant introduction route live via self-employed cases</t>
        </is>
      </c>
    </row>
    <row r="10" ht="36" customHeight="1">
      <c r="A10" s="49" t="inlineStr">
        <is>
          <t>Stand up website (Business Gateway grant) and Intelligent Office client journey</t>
        </is>
      </c>
      <c r="B10" s="77" t="n"/>
      <c r="C10" s="49" t="inlineStr">
        <is>
          <t>Attend Rosemount protection workshops; start Beanstalk JISA partnership</t>
        </is>
      </c>
      <c r="D10" s="77" t="n"/>
      <c r="E10" s="49" t="inlineStr">
        <is>
          <t>Glasgow exclusive: confirm in writing or treat as parked / high risk</t>
        </is>
      </c>
    </row>
    <row r="11" ht="36" customHeight="1">
      <c r="A11" s="49" t="inlineStr">
        <is>
          <t>Decide AR vs trading-style only if the Glasgow exclusive actually lands</t>
        </is>
      </c>
      <c r="B11" s="77" t="n"/>
      <c r="C11" s="49" t="n"/>
      <c r="D11" s="77" t="n"/>
      <c r="E11" s="49" t="n"/>
    </row>
    <row r="12" ht="24" customHeight="1">
      <c r="A12" s="81" t="n"/>
      <c r="B12" s="81" t="n"/>
      <c r="C12" s="81" t="n"/>
      <c r="D12" s="81" t="n"/>
      <c r="E12" s="81" t="n"/>
    </row>
    <row r="13" ht="28" customHeight="1">
      <c r="A13" s="81" t="n"/>
      <c r="B13" s="81" t="n"/>
      <c r="C13" s="60" t="inlineStr">
        <is>
          <t>Q3 — Jul to Sep 2027</t>
        </is>
      </c>
      <c r="D13" s="61" t="n"/>
      <c r="E13" s="60" t="inlineStr">
        <is>
          <t>Q4 — Oct to Dec 2027</t>
        </is>
      </c>
    </row>
    <row r="14" ht="36" customHeight="1">
      <c r="A14" s="81" t="n"/>
      <c r="B14" s="81" t="n"/>
      <c r="C14" s="49" t="inlineStr">
        <is>
          <t>Mid-year cash vs £80–120k ambition using Monthly Costs</t>
        </is>
      </c>
      <c r="D14" s="77" t="n"/>
      <c r="E14" s="49" t="inlineStr">
        <is>
          <t>Close remaining mortgage and protection written gaps</t>
        </is>
      </c>
    </row>
    <row r="15" ht="36" customHeight="1">
      <c r="A15" s="81" t="n"/>
      <c r="B15" s="81" t="n"/>
      <c r="C15" s="49" t="inlineStr">
        <is>
          <t>AR decision if Glasgow volume is real enough for extra advisers</t>
        </is>
      </c>
      <c r="D15" s="77" t="n"/>
      <c r="E15" s="49" t="inlineStr">
        <is>
          <t>2028 plan: sole trader vs limited company; wife as possible shareholder</t>
        </is>
      </c>
    </row>
    <row r="16" ht="36" customHeight="1">
      <c r="A16" s="81" t="n"/>
      <c r="B16" s="81" t="n"/>
      <c r="C16" s="49" t="inlineStr">
        <is>
          <t>International advice: Rosemount permission granted or stay refer-only</t>
        </is>
      </c>
      <c r="D16" s="77" t="n"/>
      <c r="E16" s="49" t="inlineStr">
        <is>
          <t>Tesla lease amount confirmed; company-transfer decision with lessor</t>
        </is>
      </c>
    </row>
    <row r="17" ht="36" customHeight="1">
      <c r="A17" s="81" t="n"/>
      <c r="B17" s="81" t="n"/>
      <c r="C17" s="49" t="inlineStr">
        <is>
          <t>BoE hold / cut / rise CRM cadence proven in Intelligent Office</t>
        </is>
      </c>
      <c r="D17" s="77" t="n"/>
      <c r="E17" s="49" t="inlineStr">
        <is>
          <t>Annual introducer reviews (DJ Alexander, Hannah Fraser, others)</t>
        </is>
      </c>
    </row>
    <row r="18" ht="36" customHeight="1">
      <c r="A18" s="81" t="n"/>
      <c r="B18" s="81" t="n"/>
      <c r="C18" s="49" t="inlineStr">
        <is>
          <t>Add a case manager only if sole-adviser capacity breaks</t>
        </is>
      </c>
      <c r="D18" s="77" t="n"/>
      <c r="E18" s="49" t="inlineStr">
        <is>
          <t>Hold annual planning review and lock 2028 budget</t>
        </is>
      </c>
    </row>
    <row r="19" ht="24" customHeight="1">
      <c r="A19" s="81" t="n"/>
      <c r="B19" s="81" t="n"/>
      <c r="C19" s="81" t="n"/>
      <c r="D19" s="81" t="n"/>
      <c r="E19" s="81" t="n"/>
    </row>
    <row r="20" ht="24" customHeight="1">
      <c r="A20" s="80" t="inlineStr">
        <is>
          <t>Informed by: 20 Aug 2026 structure consult; 2 Sep Rosemount (Ahmed Bawa); 2 Sep Ivan Ralph outreach; 3 Sep Business Gateway; 26 Aug rate-email / Tribe compliance notes.</t>
        </is>
      </c>
    </row>
    <row r="21" ht="24" customHeight="1"/>
    <row r="22" ht="28" customHeight="1">
      <c r="A22" s="81" t="n"/>
      <c r="B22" s="81" t="n"/>
      <c r="C22" s="81" t="n"/>
      <c r="D22" s="81" t="n"/>
      <c r="E22" s="81" t="n"/>
    </row>
    <row r="23" ht="24" customHeight="1">
      <c r="A23" s="81" t="n"/>
      <c r="B23" s="81" t="n"/>
      <c r="C23" s="81" t="n"/>
      <c r="D23" s="81" t="n"/>
      <c r="E23" s="81" t="n"/>
    </row>
    <row r="24" ht="24" customHeight="1">
      <c r="A24" s="81" t="n"/>
      <c r="B24" s="81" t="n"/>
      <c r="C24" s="81" t="n"/>
      <c r="D24" s="81" t="n"/>
      <c r="E24" s="81" t="n"/>
    </row>
    <row r="25" ht="24" customHeight="1">
      <c r="A25" s="81" t="n"/>
      <c r="B25" s="81" t="n"/>
      <c r="C25" s="81" t="n"/>
      <c r="D25" s="81" t="n"/>
      <c r="E25" s="81" t="n"/>
    </row>
    <row r="26" ht="24" customHeight="1">
      <c r="A26" s="81" t="n"/>
      <c r="B26" s="81" t="n"/>
      <c r="C26" s="81" t="n"/>
      <c r="D26" s="81" t="n"/>
      <c r="E26" s="81" t="n"/>
    </row>
    <row r="27" ht="24" customHeight="1">
      <c r="A27" s="81" t="n"/>
      <c r="B27" s="81" t="n"/>
      <c r="C27" s="81" t="n"/>
      <c r="D27" s="81" t="n"/>
      <c r="E27" s="81" t="n"/>
    </row>
    <row r="28" ht="24" customHeight="1">
      <c r="A28" s="81" t="n"/>
      <c r="B28" s="81" t="n"/>
      <c r="C28" s="81" t="n"/>
      <c r="D28" s="81" t="n"/>
      <c r="E28" s="81" t="n"/>
    </row>
    <row r="29" ht="24" customHeight="1">
      <c r="A29" s="81" t="n"/>
      <c r="B29" s="81" t="n"/>
      <c r="C29" s="81" t="n"/>
      <c r="D29" s="81" t="n"/>
      <c r="E29" s="81" t="n"/>
    </row>
    <row r="30" ht="24" customHeight="1">
      <c r="A30" s="81" t="n"/>
      <c r="B30" s="81" t="n"/>
      <c r="C30" s="81" t="n"/>
      <c r="D30" s="81" t="n"/>
      <c r="E30" s="81" t="n"/>
    </row>
    <row r="31" ht="24" customHeight="1">
      <c r="A31" s="81" t="n"/>
      <c r="B31" s="81" t="n"/>
      <c r="C31" s="81" t="n"/>
      <c r="D31" s="81" t="n"/>
      <c r="E31" s="81" t="n"/>
    </row>
    <row r="32" ht="24" customHeight="1">
      <c r="A32" s="81" t="n"/>
      <c r="B32" s="81" t="n"/>
      <c r="C32" s="81" t="n"/>
      <c r="D32" s="81" t="n"/>
      <c r="E32" s="81" t="n"/>
    </row>
    <row r="33" ht="24" customHeight="1">
      <c r="A33" s="81" t="n"/>
      <c r="B33" s="81" t="n"/>
      <c r="C33" s="81" t="n"/>
      <c r="D33" s="81" t="n"/>
      <c r="E33" s="81" t="n"/>
    </row>
    <row r="34" ht="24" customHeight="1">
      <c r="A34" s="81" t="n"/>
      <c r="B34" s="81" t="n"/>
      <c r="C34" s="81" t="n"/>
      <c r="D34" s="81" t="n"/>
      <c r="E34" s="81" t="n"/>
    </row>
    <row r="35" ht="24" customHeight="1">
      <c r="A35" s="81" t="n"/>
      <c r="B35" s="81" t="n"/>
      <c r="C35" s="81" t="n"/>
      <c r="D35" s="81" t="n"/>
      <c r="E35" s="81" t="n"/>
    </row>
    <row r="36" ht="24" customHeight="1">
      <c r="A36" s="81" t="n"/>
      <c r="B36" s="81" t="n"/>
      <c r="C36" s="81" t="n"/>
      <c r="D36" s="81" t="n"/>
      <c r="E36" s="81" t="n"/>
    </row>
    <row r="37" ht="24" customHeight="1">
      <c r="A37" s="81" t="n"/>
      <c r="B37" s="81" t="n"/>
      <c r="C37" s="81" t="n"/>
      <c r="D37" s="81" t="n"/>
      <c r="E37" s="81" t="n"/>
    </row>
    <row r="38" ht="24" customHeight="1">
      <c r="A38" s="81" t="n"/>
      <c r="B38" s="81" t="n"/>
      <c r="C38" s="81" t="n"/>
      <c r="D38" s="81" t="n"/>
      <c r="E38" s="81" t="n"/>
    </row>
    <row r="39" ht="24" customHeight="1">
      <c r="A39" s="81" t="n"/>
      <c r="B39" s="81" t="n"/>
      <c r="C39" s="81" t="n"/>
      <c r="D39" s="81" t="n"/>
      <c r="E39" s="81" t="n"/>
    </row>
    <row r="40" ht="24" customHeight="1">
      <c r="A40" s="81" t="n"/>
      <c r="B40" s="81" t="n"/>
      <c r="C40" s="81" t="n"/>
      <c r="D40" s="81" t="n"/>
      <c r="E40" s="81" t="n"/>
    </row>
  </sheetData>
  <mergeCells count="4">
    <mergeCell ref="A20:E21"/>
    <mergeCell ref="A5"/>
    <mergeCell ref="A1:E2"/>
    <mergeCell ref="A3:E3"/>
  </mergeCells>
  <pageMargins left="0.4" right="0.4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showGridLines="0" topLeftCell="A4" workbookViewId="0">
      <selection activeCell="I9" sqref="I9"/>
    </sheetView>
  </sheetViews>
  <sheetFormatPr baseColWidth="8" defaultRowHeight="14"/>
  <cols>
    <col width="23" customWidth="1" min="1" max="1"/>
    <col width="36" customWidth="1" min="2" max="3"/>
    <col width="32" customWidth="1" min="3" max="3"/>
    <col width="44" customWidth="1" min="4" max="4"/>
    <col width="24" customWidth="1" min="5" max="5"/>
    <col width="12" customWidth="1" min="6" max="6"/>
    <col width="14" customWidth="1" min="7" max="7"/>
    <col width="17" customWidth="1" min="8" max="8"/>
    <col width="58" customWidth="1" min="9" max="9"/>
  </cols>
  <sheetData>
    <row r="1" ht="25" customHeight="1">
      <c r="A1" s="48" t="inlineStr">
        <is>
          <t>Consolidated Strategy Plan</t>
        </is>
      </c>
    </row>
    <row r="2" ht="25" customHeight="1"/>
    <row r="3" ht="28" customHeight="1">
      <c r="A3" s="27" t="inlineStr">
        <is>
          <t>All strategic-planning subjects are retained in one editable table.</t>
        </is>
      </c>
    </row>
    <row r="5">
      <c r="A5" s="37" t="inlineStr">
        <is>
          <t>Workstream</t>
        </is>
      </c>
      <c r="B5" s="37" t="inlineStr">
        <is>
          <t>Current Position</t>
        </is>
      </c>
      <c r="C5" s="37" t="inlineStr">
        <is>
          <t>2027 Objective</t>
        </is>
      </c>
      <c r="D5" s="37" t="inlineStr">
        <is>
          <t>Key Actions / Operating Model</t>
        </is>
      </c>
      <c r="E5" s="37" t="inlineStr">
        <is>
          <t>KPI / Target</t>
        </is>
      </c>
      <c r="F5" s="37" t="inlineStr">
        <is>
          <t>Owner</t>
        </is>
      </c>
      <c r="G5" s="37" t="inlineStr">
        <is>
          <t>Quarter</t>
        </is>
      </c>
      <c r="H5" s="37" t="inlineStr">
        <is>
          <t>Status</t>
        </is>
      </c>
      <c r="I5" s="37" t="inlineStr">
        <is>
          <t>Planning Prompts</t>
        </is>
      </c>
    </row>
    <row r="6" ht="96" customHeight="1">
      <c r="A6" s="23" t="inlineStr">
        <is>
          <t>Objectives</t>
        </is>
      </c>
      <c r="B6" s="49" t="inlineStr">
        <is>
          <t>New firm after redundancy from Rettie (protected conversation Aug 2026). No client bank. Year-1 cash ambition £80–120k.</t>
        </is>
      </c>
      <c r="C6" s="49" t="inlineStr">
        <is>
          <t>Launch Duncan &amp; Co; hit the 40 / 30 / 1-in-3 conversion model (10 completions; written from Financial Plan) and build year-1 cash.</t>
        </is>
      </c>
      <c r="D6" s="49" t="inlineStr">
        <is>
          <t>Complete Rosemount appointment; lock introducers; run an activity-first first year; review AR only if Glasgow lands.</t>
        </is>
      </c>
      <c r="E6" s="49" t="inlineStr">
        <is>
          <t>£12.42m mortgage / £2.88m protection written; £80–120k cash</t>
        </is>
      </c>
      <c r="F6" s="49" t="inlineStr">
        <is>
          <t>Bob</t>
        </is>
      </c>
      <c r="G6" s="49" t="inlineStr">
        <is>
          <t>All Year</t>
        </is>
      </c>
      <c r="H6" s="49" t="inlineStr">
        <is>
          <t>In Progress</t>
        </is>
      </c>
      <c r="I6" s="36" t="inlineStr">
        <is>
          <t>12-month vision; turnover and banked targets; adviser growth; productivity; written-to-banked conversion; customer journey and KPIs.</t>
        </is>
      </c>
    </row>
    <row r="7" ht="96" customHeight="1">
      <c r="A7" s="23" t="inlineStr">
        <is>
          <t>Recruitment</t>
        </is>
      </c>
      <c r="B7" s="49" t="inlineStr">
        <is>
          <t>Solo launch. Later AR status only if advisers are recruited (needed for Glasgow-scale volume).</t>
        </is>
      </c>
      <c r="C7" s="49" t="inlineStr">
        <is>
          <t>Stay solo unless an exclusive Glasgow introducer is signed (that path could support 3–4 advisers).</t>
        </is>
      </c>
      <c r="D7" s="49" t="inlineStr">
        <is>
          <t>Do not hire until volume is confirmed in writing; agree AR transition steps with Rosemount if it lands.</t>
        </is>
      </c>
      <c r="E7" s="49" t="inlineStr">
        <is>
          <t>Adviser count = 1 unless Glasgow exclusive signed</t>
        </is>
      </c>
      <c r="F7" s="49" t="inlineStr">
        <is>
          <t>Bob</t>
        </is>
      </c>
      <c r="G7" s="49" t="inlineStr">
        <is>
          <t>Q3</t>
        </is>
      </c>
      <c r="H7" s="49" t="inlineStr">
        <is>
          <t>Not Started</t>
        </is>
      </c>
      <c r="I7" s="36" t="inlineStr">
        <is>
          <t>Current adviser levels and locations; employed/self-employed model; contracts and packages; academy options; recruitment activity and resources.</t>
        </is>
      </c>
    </row>
    <row r="8" ht="96" customHeight="1">
      <c r="A8" s="23" t="inlineStr">
        <is>
          <t>Lead Generation</t>
        </is>
      </c>
      <c r="B8" s="49" t="inlineStr">
        <is>
          <t>DJ Alexander primary Edinburgh &amp; Glasgow; Hannah Fraser agreed primary Edinburgh solicitor/property; Ivan Ralph outreach started; Glasgow agency unconfirmed.</t>
        </is>
      </c>
      <c r="C8" s="49" t="inlineStr">
        <is>
          <t>Diversify so no single introducer dominates; add website, accountants and BoE CRM.</t>
        </is>
      </c>
      <c r="D8" s="49" t="inlineStr">
        <is>
          <t>Formalise DJ Alexander and Hannah Fraser; follow up Ivan Ralph; Business Gateway website; BoE rate emails.</t>
        </is>
      </c>
      <c r="E8" s="49" t="inlineStr">
        <is>
          <t>Live introducer SLAs; volume/close rates in Overview (yellow TBC)</t>
        </is>
      </c>
      <c r="F8" s="49" t="inlineStr">
        <is>
          <t>Bob</t>
        </is>
      </c>
      <c r="G8" s="49" t="inlineStr">
        <is>
          <t>Q1</t>
        </is>
      </c>
      <c r="H8" s="49" t="inlineStr">
        <is>
          <t>In Progress</t>
        </is>
      </c>
      <c r="I8" s="36" t="inlineStr">
        <is>
          <t>Current and new lead sources; introducers; digital tools; volume and value by stream; ownership and support.</t>
        </is>
      </c>
    </row>
    <row r="9" ht="96" customHeight="1">
      <c r="A9" s="23" t="inlineStr">
        <is>
          <t>Protection</t>
        </is>
      </c>
      <c r="B9" s="49" t="inlineStr">
        <is>
          <t>Protection at £1,000 a case; 1 in 3 of mortgage completions. Network 15% retention.</t>
        </is>
      </c>
      <c r="C9" s="49" t="inlineStr">
        <is>
          <t>High attachment on every mortgage; attend workshops; use Solution Builder / UnderwriteMe / iPipeline.</t>
        </is>
      </c>
      <c r="D9" s="49" t="inlineStr">
        <is>
          <t>Build protection into the client journey; track attachment % on the KPI Tracker.</t>
        </is>
      </c>
      <c r="E9" s="49" t="inlineStr">
        <is>
          <t>£240k/month written; cash via Monthly Costs £3,000 assumption</t>
        </is>
      </c>
      <c r="F9" s="49" t="inlineStr">
        <is>
          <t>Bob</t>
        </is>
      </c>
      <c r="G9" s="49" t="inlineStr">
        <is>
          <t>All Year</t>
        </is>
      </c>
      <c r="H9" s="49" t="inlineStr">
        <is>
          <t>Not Started</t>
        </is>
      </c>
      <c r="I9" s="36" t="inlineStr">
        <is>
          <t>Current mix and penetration; sales/referral model; triggers; commission splits; SLAs; development; client-bank campaigns; benchmark actions.</t>
        </is>
      </c>
    </row>
    <row r="10" ht="96" customHeight="1">
      <c r="A10" s="23" t="inlineStr">
        <is>
          <t>GI</t>
        </is>
      </c>
      <c r="B10" s="49" t="inlineStr">
        <is>
          <t>No GI book. Other Income set to £0 for 2027 until a route is agreed.</t>
        </is>
      </c>
      <c r="C10" s="49" t="inlineStr">
        <is>
          <t>Establish a GI referral route and switch on the Beanstalk JISA partnership.</t>
        </is>
      </c>
      <c r="D10" s="49" t="inlineStr">
        <is>
          <t>Confirm GI panel/referral with Rosemount; set an offer-stage trigger.</t>
        </is>
      </c>
      <c r="E10" s="49" t="inlineStr">
        <is>
          <t>£1,500/month Other Income starter</t>
        </is>
      </c>
      <c r="F10" s="49" t="inlineStr">
        <is>
          <t>Bob</t>
        </is>
      </c>
      <c r="G10" s="49" t="inlineStr">
        <is>
          <t>Q2</t>
        </is>
      </c>
      <c r="H10" s="49" t="inlineStr">
        <is>
          <t>Not Started</t>
        </is>
      </c>
      <c r="I10" s="36" t="inlineStr">
        <is>
          <t>Current and target GI penetration; specialist/referral model; triggers; VITA options; commission splits; SLAs; development opportunities.</t>
        </is>
      </c>
    </row>
    <row r="11" ht="96" customHeight="1">
      <c r="A11" s="23" t="inlineStr">
        <is>
          <t>Client Bank</t>
        </is>
      </c>
      <c r="B11" s="49" t="inlineStr">
        <is>
          <t>No personal client bank; pipeline not novated from Rettie / Carrington.</t>
        </is>
      </c>
      <c r="C11" s="49" t="inlineStr">
        <is>
          <t>Build a new bank from introducer completions in Intelligent Office.</t>
        </is>
      </c>
      <c r="D11" s="49" t="inlineStr">
        <is>
          <t>IO CRM setup; BoE hold/cut/rise emails; annual-review process from first completions.</t>
        </is>
      </c>
      <c r="E11" s="49" t="inlineStr">
        <is>
          <t>PED retention and review % once a book exists</t>
        </is>
      </c>
      <c r="F11" s="49" t="inlineStr">
        <is>
          <t>Bob</t>
        </is>
      </c>
      <c r="G11" s="49" t="inlineStr">
        <is>
          <t>Q2</t>
        </is>
      </c>
      <c r="H11" s="49" t="inlineStr">
        <is>
          <t>Not Started</t>
        </is>
      </c>
      <c r="I11" s="36" t="inlineStr">
        <is>
          <t>Client nurture; PED management and retention; annual reviews; OOCB reports/campaigns; communications; specialist support; KPIs and conversion.</t>
        </is>
      </c>
    </row>
    <row r="12" ht="96" customHeight="1">
      <c r="A12" s="23" t="inlineStr">
        <is>
          <t>Admin &amp; Leads</t>
        </is>
      </c>
      <c r="B12" s="49" t="inlineStr">
        <is>
          <t>Self-admin at launch. Tools: Intelligent Office, Mortgage Brain, Solution Builder / UnderwriteMe / iPipeline.</t>
        </is>
      </c>
      <c r="C12" s="49" t="inlineStr">
        <is>
          <t>Tight SLAs as sole adviser; add a case manager only if volume requires it.</t>
        </is>
      </c>
      <c r="D12" s="49" t="inlineStr">
        <is>
          <t>Document the client journey; keep IO pipeline clean; keep the Overview hire rows as TBC.</t>
        </is>
      </c>
      <c r="E12" s="49" t="inlineStr">
        <is>
          <t>Response SLA; completion time; quality</t>
        </is>
      </c>
      <c r="F12" s="49" t="inlineStr">
        <is>
          <t>Bob</t>
        </is>
      </c>
      <c r="G12" s="49" t="inlineStr">
        <is>
          <t>Q1</t>
        </is>
      </c>
      <c r="H12" s="49" t="inlineStr">
        <is>
          <t>Not Started</t>
        </is>
      </c>
      <c r="I12" s="36" t="inlineStr">
        <is>
          <t>Admin/case-manager resources and roles; workflow; lead management; nurture and qualification; overdue reviews; SLAs and incentives.</t>
        </is>
      </c>
    </row>
    <row r="13" ht="96" customHeight="1">
      <c r="A13" s="23" t="inlineStr">
        <is>
          <t>Marketing</t>
        </is>
      </c>
      <c r="B13" s="49" t="inlineStr">
        <is>
          <t>duncanandcofinancial.co.uk not yet built. Business Gateway funding discussed 3 Sep 2026.</t>
        </is>
      </c>
      <c r="C13" s="49" t="inlineStr">
        <is>
          <t>Live site + light PPC + rate-triggered CRM emails.</t>
        </is>
      </c>
      <c r="D13" s="49" t="inlineStr">
        <is>
          <t>Contact Business Gateway; set brand; load the three BoE scenario emails drafted 26 Aug.</t>
        </is>
      </c>
      <c r="E13" s="49" t="inlineStr">
        <is>
          <t>Website/PPC leads; cost per lead</t>
        </is>
      </c>
      <c r="F13" s="49" t="inlineStr">
        <is>
          <t>Bob</t>
        </is>
      </c>
      <c r="G13" s="49" t="inlineStr">
        <is>
          <t>Q1</t>
        </is>
      </c>
      <c r="H13" s="49" t="inlineStr">
        <is>
          <t>In Progress</t>
        </is>
      </c>
      <c r="I13" s="36" t="inlineStr">
        <is>
          <t>Website/social audit; profile and lead generation support; ownership; PPC and campaigns; onboarding; Dashley/Mortgage Monitoring; digital toolkit.</t>
        </is>
      </c>
    </row>
    <row r="14" ht="96" customHeight="1">
      <c r="A14" s="23" t="inlineStr">
        <is>
          <t>Wealth &amp; Later Life</t>
        </is>
      </c>
      <c r="B14" s="49" t="inlineStr">
        <is>
          <t>Later-life / equity release TBC with Rosemount. International/overseas buyers still need compliance agreement.</t>
        </is>
      </c>
      <c r="C14" s="49" t="inlineStr">
        <is>
          <t>Confirm permissions before any later-life or international advice; refer if not approved.</t>
        </is>
      </c>
      <c r="D14" s="49" t="inlineStr">
        <is>
          <t>Agree later-life and international rules with Rosemount before the first case.</t>
        </is>
      </c>
      <c r="E14" s="49" t="inlineStr">
        <is>
          <t>Zero unapproved advice; referral log if needed</t>
        </is>
      </c>
      <c r="F14" s="49" t="inlineStr">
        <is>
          <t>Bob</t>
        </is>
      </c>
      <c r="G14" s="49" t="inlineStr">
        <is>
          <t>Q2</t>
        </is>
      </c>
      <c r="H14" s="49" t="inlineStr">
        <is>
          <t>Not Started</t>
        </is>
      </c>
      <c r="I14" s="36" t="inlineStr">
        <is>
          <t>New/existing client opportunities; referral process and ownership; development and training; readiness milestones; interim referral approach.</t>
        </is>
      </c>
    </row>
    <row r="15" ht="96" customHeight="1">
      <c r="A15" s="23" t="inlineStr">
        <is>
          <t>Other Income</t>
        </is>
      </c>
      <c r="B15" s="49" t="inlineStr">
        <is>
          <t>Starter £1,500/month. Beanstalk JISA partnership available via Rosemount.</t>
        </is>
      </c>
      <c r="C15" s="49" t="inlineStr">
        <is>
          <t>Other Income held at £0 unless a GI / referral route is switched on.</t>
        </is>
      </c>
      <c r="D15" s="49" t="inlineStr">
        <is>
          <t>Beanstalk onboarding; accountant intros via self-employed cases; conveyancing/wills only if a panel exists.</t>
        </is>
      </c>
      <c r="E15" s="49" t="inlineStr">
        <is>
          <t>£1,500/month default (Financial Plan yellow)</t>
        </is>
      </c>
      <c r="F15" s="49" t="inlineStr">
        <is>
          <t>Bob</t>
        </is>
      </c>
      <c r="G15" s="49" t="inlineStr">
        <is>
          <t>Q2</t>
        </is>
      </c>
      <c r="H15" s="49" t="inlineStr">
        <is>
          <t>Not Started</t>
        </is>
      </c>
      <c r="I15" s="36" t="inlineStr">
        <is>
          <t>Moving Hub; conveyancing; wills; Wealth; GI; Later Life; bridging/commercial referrals; providers; ownership; SLAs and income targets.</t>
        </is>
      </c>
    </row>
  </sheetData>
  <mergeCells count="2">
    <mergeCell ref="A1:I2"/>
    <mergeCell ref="A3:I3"/>
  </mergeCells>
  <conditionalFormatting sqref="H6:H15">
    <cfRule type="containsText" priority="1" operator="containsText" dxfId="0" text="Complete"/>
    <cfRule type="containsText" priority="2" operator="containsText" dxfId="2" text="At Risk"/>
  </conditionalFormatting>
  <dataValidations count="2">
    <dataValidation sqref="G6:G15" showDropDown="0" showInputMessage="0" showErrorMessage="0" allowBlank="0" type="list">
      <formula1>"Q1,Q2,Q3,Q4,All Year"</formula1>
    </dataValidation>
    <dataValidation sqref="H6:H15" showDropDown="0" showInputMessage="0" showErrorMessage="0" allowBlank="0" type="list">
      <formula1>"Not Started,In Progress,At Risk,Blocked,Complete"</formula1>
    </dataValidation>
  </dataValidations>
  <pageMargins left="0.4" right="0.4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19"/>
  <sheetViews>
    <sheetView showGridLines="0" workbookViewId="0">
      <selection activeCell="D26" sqref="D26"/>
    </sheetView>
  </sheetViews>
  <sheetFormatPr baseColWidth="8" defaultRowHeight="14"/>
  <cols>
    <col width="21" customWidth="1" min="1" max="1"/>
    <col width="16" customWidth="1" min="2" max="8"/>
    <col width="17" customWidth="1" min="9" max="9"/>
    <col width="16" customWidth="1" min="10" max="10"/>
    <col width="17" customWidth="1" min="11" max="12"/>
    <col width="15" customWidth="1" min="13" max="13"/>
    <col width="18" customWidth="1" min="14" max="14"/>
  </cols>
  <sheetData>
    <row r="1" ht="25" customHeight="1">
      <c r="A1" s="48" t="inlineStr">
        <is>
          <t>2027 KPI Tracker</t>
        </is>
      </c>
    </row>
    <row r="2" ht="25" customHeight="1"/>
    <row r="3" ht="28" customHeight="1">
      <c r="A3" s="27" t="inlineStr">
        <is>
          <t>Targets link to the Financial Plan. Enter actuals and operating percentages in yellow cells.</t>
        </is>
      </c>
    </row>
    <row r="5" ht="28" customHeight="1">
      <c r="A5" s="37" t="inlineStr">
        <is>
          <t>Month</t>
        </is>
      </c>
      <c r="B5" s="37" t="inlineStr">
        <is>
          <t>Total Target</t>
        </is>
      </c>
      <c r="C5" s="37" t="inlineStr">
        <is>
          <t>Total Actual</t>
        </is>
      </c>
      <c r="D5" s="37" t="inlineStr">
        <is>
          <t>Variance</t>
        </is>
      </c>
      <c r="E5" s="37" t="inlineStr">
        <is>
          <t>Mortgage Target</t>
        </is>
      </c>
      <c r="F5" s="37" t="inlineStr">
        <is>
          <t>Actual</t>
        </is>
      </c>
      <c r="G5" s="37" t="inlineStr">
        <is>
          <t>Protection Target</t>
        </is>
      </c>
      <c r="H5" s="37" t="inlineStr">
        <is>
          <t>Actual</t>
        </is>
      </c>
      <c r="I5" s="37" t="inlineStr">
        <is>
          <t>Other Income Target</t>
        </is>
      </c>
      <c r="J5" s="37" t="inlineStr">
        <is>
          <t>Actual</t>
        </is>
      </c>
      <c r="K5" s="37" t="inlineStr">
        <is>
          <t>Written-to-Banked %</t>
        </is>
      </c>
      <c r="L5" s="37" t="inlineStr">
        <is>
          <t>Protection Pen %</t>
        </is>
      </c>
      <c r="M5" s="37" t="inlineStr">
        <is>
          <t>GI Pen %</t>
        </is>
      </c>
      <c r="N5" s="37" t="inlineStr">
        <is>
          <t>PED Retention %</t>
        </is>
      </c>
    </row>
    <row r="6">
      <c r="A6" t="inlineStr">
        <is>
          <t>Jan</t>
        </is>
      </c>
      <c r="B6" s="5">
        <f>'Financial Plan'!D16</f>
        <v/>
      </c>
      <c r="C6" s="55" t="n"/>
      <c r="D6" s="5">
        <f>IF(C6="","",C6-B6)</f>
        <v/>
      </c>
      <c r="E6" s="5">
        <f>'Financial Plan'!D13</f>
        <v/>
      </c>
      <c r="F6" s="55" t="n"/>
      <c r="G6" s="5">
        <f>'Financial Plan'!D14</f>
        <v/>
      </c>
      <c r="H6" s="55" t="n"/>
      <c r="I6" s="5">
        <f>'Financial Plan'!D15</f>
        <v/>
      </c>
      <c r="J6" s="55" t="n"/>
      <c r="K6" s="83" t="n"/>
      <c r="L6" s="83" t="n"/>
      <c r="M6" s="83" t="n"/>
      <c r="N6" s="83" t="n"/>
    </row>
    <row r="7">
      <c r="A7" t="inlineStr">
        <is>
          <t>Feb</t>
        </is>
      </c>
      <c r="B7" s="5">
        <f>'Financial Plan'!E16</f>
        <v/>
      </c>
      <c r="C7" s="55" t="n"/>
      <c r="D7" s="5">
        <f>IF(C7="","",C7-B7)</f>
        <v/>
      </c>
      <c r="E7" s="5">
        <f>'Financial Plan'!E13</f>
        <v/>
      </c>
      <c r="F7" s="55" t="n"/>
      <c r="G7" s="5">
        <f>'Financial Plan'!E14</f>
        <v/>
      </c>
      <c r="H7" s="55" t="n"/>
      <c r="I7" s="5">
        <f>'Financial Plan'!E15</f>
        <v/>
      </c>
      <c r="J7" s="55" t="n"/>
      <c r="K7" s="83" t="n"/>
      <c r="L7" s="83" t="n"/>
      <c r="M7" s="83" t="n"/>
      <c r="N7" s="83" t="n"/>
    </row>
    <row r="8">
      <c r="A8" t="inlineStr">
        <is>
          <t>Mar</t>
        </is>
      </c>
      <c r="B8" s="5">
        <f>'Financial Plan'!F16</f>
        <v/>
      </c>
      <c r="C8" s="55" t="n"/>
      <c r="D8" s="5">
        <f>IF(C8="","",C8-B8)</f>
        <v/>
      </c>
      <c r="E8" s="5">
        <f>'Financial Plan'!F13</f>
        <v/>
      </c>
      <c r="F8" s="55" t="n"/>
      <c r="G8" s="5">
        <f>'Financial Plan'!F14</f>
        <v/>
      </c>
      <c r="H8" s="55" t="n"/>
      <c r="I8" s="5">
        <f>'Financial Plan'!F15</f>
        <v/>
      </c>
      <c r="J8" s="55" t="n"/>
      <c r="K8" s="83" t="n"/>
      <c r="L8" s="83" t="n"/>
      <c r="M8" s="83" t="n"/>
      <c r="N8" s="83" t="n"/>
    </row>
    <row r="9">
      <c r="A9" t="inlineStr">
        <is>
          <t>Apr</t>
        </is>
      </c>
      <c r="B9" s="5">
        <f>'Financial Plan'!G16</f>
        <v/>
      </c>
      <c r="C9" s="55" t="n"/>
      <c r="D9" s="5">
        <f>IF(C9="","",C9-B9)</f>
        <v/>
      </c>
      <c r="E9" s="5">
        <f>'Financial Plan'!G13</f>
        <v/>
      </c>
      <c r="F9" s="55" t="n"/>
      <c r="G9" s="5">
        <f>'Financial Plan'!G14</f>
        <v/>
      </c>
      <c r="H9" s="55" t="n"/>
      <c r="I9" s="5">
        <f>'Financial Plan'!G15</f>
        <v/>
      </c>
      <c r="J9" s="55" t="n"/>
      <c r="K9" s="83" t="n"/>
      <c r="L9" s="83" t="n"/>
      <c r="M9" s="83" t="n"/>
      <c r="N9" s="83" t="n"/>
    </row>
    <row r="10">
      <c r="A10" t="inlineStr">
        <is>
          <t>May</t>
        </is>
      </c>
      <c r="B10" s="5">
        <f>'Financial Plan'!H16</f>
        <v/>
      </c>
      <c r="C10" s="55" t="n"/>
      <c r="D10" s="5">
        <f>IF(C10="","",C10-B10)</f>
        <v/>
      </c>
      <c r="E10" s="5">
        <f>'Financial Plan'!H13</f>
        <v/>
      </c>
      <c r="F10" s="55" t="n"/>
      <c r="G10" s="5">
        <f>'Financial Plan'!H14</f>
        <v/>
      </c>
      <c r="H10" s="55" t="n"/>
      <c r="I10" s="5">
        <f>'Financial Plan'!H15</f>
        <v/>
      </c>
      <c r="J10" s="55" t="n"/>
      <c r="K10" s="83" t="n"/>
      <c r="L10" s="83" t="n"/>
      <c r="M10" s="83" t="n"/>
      <c r="N10" s="83" t="n"/>
    </row>
    <row r="11">
      <c r="A11" t="inlineStr">
        <is>
          <t>Jun</t>
        </is>
      </c>
      <c r="B11" s="5">
        <f>'Financial Plan'!I16</f>
        <v/>
      </c>
      <c r="C11" s="55" t="n"/>
      <c r="D11" s="5">
        <f>IF(C11="","",C11-B11)</f>
        <v/>
      </c>
      <c r="E11" s="5">
        <f>'Financial Plan'!I13</f>
        <v/>
      </c>
      <c r="F11" s="55" t="n"/>
      <c r="G11" s="5">
        <f>'Financial Plan'!I14</f>
        <v/>
      </c>
      <c r="H11" s="55" t="n"/>
      <c r="I11" s="5">
        <f>'Financial Plan'!I15</f>
        <v/>
      </c>
      <c r="J11" s="55" t="n"/>
      <c r="K11" s="83" t="n"/>
      <c r="L11" s="83" t="n"/>
      <c r="M11" s="83" t="n"/>
      <c r="N11" s="83" t="n"/>
    </row>
    <row r="12">
      <c r="A12" t="inlineStr">
        <is>
          <t>Jul</t>
        </is>
      </c>
      <c r="B12" s="5">
        <f>'Financial Plan'!J16</f>
        <v/>
      </c>
      <c r="C12" s="55" t="n"/>
      <c r="D12" s="5">
        <f>IF(C12="","",C12-B12)</f>
        <v/>
      </c>
      <c r="E12" s="5">
        <f>'Financial Plan'!J13</f>
        <v/>
      </c>
      <c r="F12" s="55" t="n"/>
      <c r="G12" s="5">
        <f>'Financial Plan'!J14</f>
        <v/>
      </c>
      <c r="H12" s="55" t="n"/>
      <c r="I12" s="5">
        <f>'Financial Plan'!J15</f>
        <v/>
      </c>
      <c r="J12" s="55" t="n"/>
      <c r="K12" s="83" t="n"/>
      <c r="L12" s="83" t="n"/>
      <c r="M12" s="83" t="n"/>
      <c r="N12" s="83" t="n"/>
    </row>
    <row r="13">
      <c r="A13" t="inlineStr">
        <is>
          <t>Aug</t>
        </is>
      </c>
      <c r="B13" s="5">
        <f>'Financial Plan'!K16</f>
        <v/>
      </c>
      <c r="C13" s="55" t="n"/>
      <c r="D13" s="5">
        <f>IF(C13="","",C13-B13)</f>
        <v/>
      </c>
      <c r="E13" s="5">
        <f>'Financial Plan'!K13</f>
        <v/>
      </c>
      <c r="F13" s="55" t="n"/>
      <c r="G13" s="5">
        <f>'Financial Plan'!K14</f>
        <v/>
      </c>
      <c r="H13" s="55" t="n"/>
      <c r="I13" s="5">
        <f>'Financial Plan'!K15</f>
        <v/>
      </c>
      <c r="J13" s="55" t="n"/>
      <c r="K13" s="83" t="n"/>
      <c r="L13" s="83" t="n"/>
      <c r="M13" s="83" t="n"/>
      <c r="N13" s="83" t="n"/>
    </row>
    <row r="14">
      <c r="A14" t="inlineStr">
        <is>
          <t>Sep</t>
        </is>
      </c>
      <c r="B14" s="5">
        <f>'Financial Plan'!L16</f>
        <v/>
      </c>
      <c r="C14" s="55" t="n"/>
      <c r="D14" s="5">
        <f>IF(C14="","",C14-B14)</f>
        <v/>
      </c>
      <c r="E14" s="5">
        <f>'Financial Plan'!L13</f>
        <v/>
      </c>
      <c r="F14" s="55" t="n"/>
      <c r="G14" s="5">
        <f>'Financial Plan'!L14</f>
        <v/>
      </c>
      <c r="H14" s="55" t="n"/>
      <c r="I14" s="5">
        <f>'Financial Plan'!L15</f>
        <v/>
      </c>
      <c r="J14" s="55" t="n"/>
      <c r="K14" s="83" t="n"/>
      <c r="L14" s="83" t="n"/>
      <c r="M14" s="83" t="n"/>
      <c r="N14" s="83" t="n"/>
    </row>
    <row r="15">
      <c r="A15" t="inlineStr">
        <is>
          <t>Oct</t>
        </is>
      </c>
      <c r="B15" s="5">
        <f>'Financial Plan'!M16</f>
        <v/>
      </c>
      <c r="C15" s="55" t="n"/>
      <c r="D15" s="5">
        <f>IF(C15="","",C15-B15)</f>
        <v/>
      </c>
      <c r="E15" s="5">
        <f>'Financial Plan'!M13</f>
        <v/>
      </c>
      <c r="F15" s="55" t="n"/>
      <c r="G15" s="5">
        <f>'Financial Plan'!M14</f>
        <v/>
      </c>
      <c r="H15" s="55" t="n"/>
      <c r="I15" s="5">
        <f>'Financial Plan'!M15</f>
        <v/>
      </c>
      <c r="J15" s="55" t="n"/>
      <c r="K15" s="83" t="n"/>
      <c r="L15" s="83" t="n"/>
      <c r="M15" s="83" t="n"/>
      <c r="N15" s="83" t="n"/>
    </row>
    <row r="16">
      <c r="A16" t="inlineStr">
        <is>
          <t>Nov</t>
        </is>
      </c>
      <c r="B16" s="5">
        <f>'Financial Plan'!N16</f>
        <v/>
      </c>
      <c r="C16" s="55" t="n"/>
      <c r="D16" s="5">
        <f>IF(C16="","",C16-B16)</f>
        <v/>
      </c>
      <c r="E16" s="5">
        <f>'Financial Plan'!N13</f>
        <v/>
      </c>
      <c r="F16" s="55" t="n"/>
      <c r="G16" s="5">
        <f>'Financial Plan'!N14</f>
        <v/>
      </c>
      <c r="H16" s="55" t="n"/>
      <c r="I16" s="5">
        <f>'Financial Plan'!N15</f>
        <v/>
      </c>
      <c r="J16" s="55" t="n"/>
      <c r="K16" s="83" t="n"/>
      <c r="L16" s="83" t="n"/>
      <c r="M16" s="83" t="n"/>
      <c r="N16" s="83" t="n"/>
    </row>
    <row r="17">
      <c r="A17" t="inlineStr">
        <is>
          <t>Dec</t>
        </is>
      </c>
      <c r="B17" s="5">
        <f>'Financial Plan'!O16</f>
        <v/>
      </c>
      <c r="C17" s="55" t="n"/>
      <c r="D17" s="5">
        <f>IF(C17="","",C17-B17)</f>
        <v/>
      </c>
      <c r="E17" s="5">
        <f>'Financial Plan'!O13</f>
        <v/>
      </c>
      <c r="F17" s="55" t="n"/>
      <c r="G17" s="5">
        <f>'Financial Plan'!O14</f>
        <v/>
      </c>
      <c r="H17" s="55" t="n"/>
      <c r="I17" s="5">
        <f>'Financial Plan'!O15</f>
        <v/>
      </c>
      <c r="J17" s="55" t="n"/>
      <c r="K17" s="83" t="n"/>
      <c r="L17" s="83" t="n"/>
      <c r="M17" s="83" t="n"/>
      <c r="N17" s="83" t="n"/>
    </row>
    <row r="19">
      <c r="A19" s="24" t="inlineStr">
        <is>
          <t>ANNUAL / AVERAGE</t>
        </is>
      </c>
      <c r="B19" s="7">
        <f>SUM(B6:B17)</f>
        <v/>
      </c>
      <c r="C19" s="7">
        <f>SUM(C6:C17)</f>
        <v/>
      </c>
      <c r="D19" s="7">
        <f>IF(C19=0,"",C19-B19)</f>
        <v/>
      </c>
      <c r="E19" s="7">
        <f>SUM(E6:E17)</f>
        <v/>
      </c>
      <c r="F19" s="7">
        <f>SUM(F6:F17)</f>
        <v/>
      </c>
      <c r="G19" s="7">
        <f>SUM(G6:G17)</f>
        <v/>
      </c>
      <c r="H19" s="7">
        <f>SUM(H6:H17)</f>
        <v/>
      </c>
      <c r="I19" s="7">
        <f>SUM(I6:I17)</f>
        <v/>
      </c>
      <c r="J19" s="7">
        <f>SUM(J6:J17)</f>
        <v/>
      </c>
      <c r="K19" s="25">
        <f>IF(COUNTA(K6:K17)=0,"",AVERAGE(K6:K17))</f>
        <v/>
      </c>
      <c r="L19" s="25">
        <f>IF(COUNTA(L6:L17)=0,"",AVERAGE(L6:L17))</f>
        <v/>
      </c>
      <c r="M19" s="25">
        <f>IF(COUNTA(M6:M17)=0,"",AVERAGE(M6:M17))</f>
        <v/>
      </c>
      <c r="N19" s="25">
        <f>IF(COUNTA(N6:N17)=0,"",AVERAGE(N6:N17))</f>
        <v/>
      </c>
    </row>
  </sheetData>
  <mergeCells count="2">
    <mergeCell ref="A1:N2"/>
    <mergeCell ref="A3:N3"/>
  </mergeCells>
  <conditionalFormatting sqref="D6:D19">
    <cfRule type="cellIs" priority="1" operator="lessThan" dxfId="1">
      <formula>0</formula>
    </cfRule>
  </conditionalFormatting>
  <pageMargins left="0.4" right="0.4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6"/>
  <sheetViews>
    <sheetView showGridLines="0" tabSelected="1" workbookViewId="0">
      <selection activeCell="E7" sqref="E7"/>
    </sheetView>
  </sheetViews>
  <sheetFormatPr baseColWidth="8" defaultRowHeight="14"/>
  <cols>
    <col width="28" customWidth="1" min="1" max="1"/>
    <col width="19" customWidth="1" min="2" max="2"/>
    <col width="17" customWidth="1" min="3" max="4"/>
    <col width="38" customWidth="1" min="5" max="5"/>
    <col width="19" customWidth="1" min="6" max="6"/>
    <col width="17" customWidth="1" min="7" max="7"/>
    <col width="18" customWidth="1" min="8" max="8"/>
    <col width="34" customWidth="1" min="9" max="9"/>
  </cols>
  <sheetData>
    <row r="1" ht="25" customHeight="1">
      <c r="A1" s="48" t="inlineStr">
        <is>
          <t>Risks, Actions and Model Checks</t>
        </is>
      </c>
    </row>
    <row r="2" ht="25" customHeight="1"/>
    <row r="3" ht="28" customHeight="1">
      <c r="A3" s="27" t="inlineStr">
        <is>
          <t>A single register for delivery actions, risks and dependencies.</t>
        </is>
      </c>
    </row>
    <row r="5">
      <c r="A5" s="35" t="inlineStr">
        <is>
          <t>Model checks</t>
        </is>
      </c>
    </row>
    <row r="6">
      <c r="A6" t="inlineStr">
        <is>
          <t>MODEL STATUS</t>
        </is>
      </c>
      <c r="B6">
        <f>IF(COUNTIF(B9:B12,"FAIL")=0,"PASS","FAIL")</f>
        <v/>
      </c>
    </row>
    <row r="8">
      <c r="A8" s="37" t="inlineStr">
        <is>
          <t>Check</t>
        </is>
      </c>
      <c r="B8" s="37" t="inlineStr">
        <is>
          <t>Status</t>
        </is>
      </c>
      <c r="C8" s="37" t="inlineStr">
        <is>
          <t>Delta</t>
        </is>
      </c>
      <c r="D8" s="37" t="inlineStr">
        <is>
          <t>Where to fix</t>
        </is>
      </c>
    </row>
    <row r="9">
      <c r="A9" s="8" t="inlineStr">
        <is>
          <t>Annual target equals stream totals</t>
        </is>
      </c>
      <c r="B9" s="8">
        <f>IF(ABS(C9)&lt;0.01,"PASS","FAIL")</f>
        <v/>
      </c>
      <c r="C9" s="10">
        <f>'Financial Plan'!P16-SUM('Financial Plan'!P13:P15)</f>
        <v/>
      </c>
      <c r="D9" s="8" t="inlineStr">
        <is>
          <t>Financial Plan</t>
        </is>
      </c>
    </row>
    <row r="10">
      <c r="A10" s="8" t="inlineStr">
        <is>
          <t>Monthly totals equal annual</t>
        </is>
      </c>
      <c r="B10" s="8">
        <f>IF(ABS(C10)&lt;0.01,"PASS","FAIL")</f>
        <v/>
      </c>
      <c r="C10" s="10">
        <f>SUM('Financial Plan'!D16:O16)-'Financial Plan'!P16</f>
        <v/>
      </c>
      <c r="D10" s="8" t="inlineStr">
        <is>
          <t>Financial Plan</t>
        </is>
      </c>
    </row>
    <row r="11">
      <c r="A11" s="8" t="inlineStr">
        <is>
          <t>Quarter total equals annual</t>
        </is>
      </c>
      <c r="B11" s="8">
        <f>IF(ABS(C11)&lt;0.01,"PASS","FAIL")</f>
        <v/>
      </c>
      <c r="C11" s="10">
        <f>SUM('Financial Plan'!B24:E24)-'Financial Plan'!F24</f>
        <v/>
      </c>
      <c r="D11" s="8" t="inlineStr">
        <is>
          <t>Financial Plan</t>
        </is>
      </c>
    </row>
    <row r="12">
      <c r="A12" s="8" t="inlineStr">
        <is>
          <t>Plan year is 2027</t>
        </is>
      </c>
      <c r="B12" s="8">
        <f>IF(ABS(C12)&lt;0.01,"PASS","FAIL")</f>
        <v/>
      </c>
      <c r="C12" s="8">
        <f>2027-2027</f>
        <v/>
      </c>
      <c r="D12" s="8" t="inlineStr">
        <is>
          <t>Financial Plan</t>
        </is>
      </c>
    </row>
    <row r="15">
      <c r="A15" s="35" t="inlineStr">
        <is>
          <t>Risk and action register</t>
        </is>
      </c>
    </row>
    <row r="16">
      <c r="A16" s="37" t="inlineStr">
        <is>
          <t>Risk / Action</t>
        </is>
      </c>
      <c r="B16" s="37" t="inlineStr">
        <is>
          <t>Type</t>
        </is>
      </c>
      <c r="C16" s="37" t="inlineStr">
        <is>
          <t>Likelihood</t>
        </is>
      </c>
      <c r="D16" s="37" t="inlineStr">
        <is>
          <t>Impact / Priority</t>
        </is>
      </c>
      <c r="E16" s="37" t="inlineStr">
        <is>
          <t>Mitigation / Next Step</t>
        </is>
      </c>
      <c r="F16" s="37" t="inlineStr">
        <is>
          <t>Owner</t>
        </is>
      </c>
      <c r="G16" s="37" t="inlineStr">
        <is>
          <t>Due Date</t>
        </is>
      </c>
      <c r="H16" s="37" t="inlineStr">
        <is>
          <t>Status</t>
        </is>
      </c>
      <c r="I16" s="37" t="inlineStr">
        <is>
          <t>Notes</t>
        </is>
      </c>
    </row>
    <row r="17" ht="48" customHeight="1">
      <c r="A17" s="49" t="inlineStr">
        <is>
          <t>Rosemount appointment slips past end of September 2026</t>
        </is>
      </c>
      <c r="B17" s="49" t="inlineStr">
        <is>
          <t>Risk</t>
        </is>
      </c>
      <c r="C17" s="49" t="inlineStr">
        <is>
          <t>High</t>
        </is>
      </c>
      <c r="D17" s="49" t="inlineStr">
        <is>
          <t>High</t>
        </is>
      </c>
      <c r="E17" s="49" t="inlineStr">
        <is>
          <t>Complete references, tests and due diligence immediately; keep Ahmed Bawa updated weekly.</t>
        </is>
      </c>
      <c r="F17" s="49" t="inlineStr">
        <is>
          <t>Bob / Rosemount (Ahmed Bawa)</t>
        </is>
      </c>
      <c r="G17" s="84" t="n">
        <v>46295</v>
      </c>
      <c r="H17" s="49" t="inlineStr">
        <is>
          <t>In Progress</t>
        </is>
      </c>
      <c r="I17" s="49" t="inlineStr">
        <is>
          <t>Exploratory meeting 2 Sep 2026. Own brand retained as trading style. Do not invent an FCA number.</t>
        </is>
      </c>
    </row>
    <row r="18" ht="48" customHeight="1">
      <c r="A18" s="49" t="inlineStr">
        <is>
          <t>12-month non-compete / redundancy terms still in negotiation</t>
        </is>
      </c>
      <c r="B18" s="49" t="inlineStr">
        <is>
          <t>Risk</t>
        </is>
      </c>
      <c r="C18" s="49" t="inlineStr">
        <is>
          <t>High</t>
        </is>
      </c>
      <c r="D18" s="49" t="inlineStr">
        <is>
          <t>High</t>
        </is>
      </c>
      <c r="E18" s="49" t="inlineStr">
        <is>
          <t>Solicitor Donald to conclude protected-conversation terms. Do not solicit Rettie clients.</t>
        </is>
      </c>
      <c r="F18" s="49" t="inlineStr">
        <is>
          <t>Donald (solicitor) / Bob</t>
        </is>
      </c>
      <c r="G18" s="84" t="n">
        <v>46326</v>
      </c>
      <c r="H18" s="49" t="inlineStr">
        <is>
          <t>In Progress</t>
        </is>
      </c>
      <c r="I18" s="49" t="inlineStr">
        <is>
          <t>Protected conversation August 2026. Pipeline not novated.</t>
        </is>
      </c>
    </row>
    <row r="19" ht="48" customHeight="1">
      <c r="A19" s="49" t="inlineStr">
        <is>
          <t>No client bank — starting from zero</t>
        </is>
      </c>
      <c r="B19" s="49" t="inlineStr">
        <is>
          <t>Risk</t>
        </is>
      </c>
      <c r="C19" s="49" t="inlineStr">
        <is>
          <t>High</t>
        </is>
      </c>
      <c r="D19" s="49" t="inlineStr">
        <is>
          <t>High</t>
        </is>
      </c>
      <c r="E19" s="49" t="inlineStr">
        <is>
          <t>Activity-first first year. Convert introducers before relying on reviews or PED.</t>
        </is>
      </c>
      <c r="F19" s="49" t="inlineStr">
        <is>
          <t>Bob</t>
        </is>
      </c>
      <c r="G19" s="84" t="n">
        <v>46477</v>
      </c>
      <c r="H19" s="49" t="inlineStr">
        <is>
          <t>Open</t>
        </is>
      </c>
      <c r="I19" s="49" t="inlineStr">
        <is>
          <t>Rosemount: first year is hardest; be proactive on activity.</t>
        </is>
      </c>
    </row>
    <row r="20" ht="48" customHeight="1">
      <c r="A20" s="49" t="inlineStr">
        <is>
          <t>Introducer concentration on DJ Alexander and Hannah Fraser</t>
        </is>
      </c>
      <c r="B20" s="49" t="inlineStr">
        <is>
          <t>Risk</t>
        </is>
      </c>
      <c r="C20" s="49" t="inlineStr">
        <is>
          <t>High</t>
        </is>
      </c>
      <c r="D20" s="49" t="inlineStr">
        <is>
          <t>High</t>
        </is>
      </c>
      <c r="E20" s="49" t="inlineStr">
        <is>
          <t>Put SLAs in writing. Add Ralph’s Thayer, accountants, website and BoE CRM so one source cannot stall the year.</t>
        </is>
      </c>
      <c r="F20" s="49" t="inlineStr">
        <is>
          <t>Bob</t>
        </is>
      </c>
      <c r="G20" s="84" t="n">
        <v>46387</v>
      </c>
      <c r="H20" s="49" t="inlineStr">
        <is>
          <t>In Progress</t>
        </is>
      </c>
      <c r="I20" s="49" t="inlineStr">
        <is>
          <t>Both named as primary. Volume still TBC on Business Overview.</t>
        </is>
      </c>
    </row>
    <row r="21" ht="48" customHeight="1">
      <c r="A21" s="49" t="inlineStr">
        <is>
          <t>Glasgow exclusive agency unconfirmed — capacity / AR risk</t>
        </is>
      </c>
      <c r="B21" s="49" t="inlineStr">
        <is>
          <t>Risk</t>
        </is>
      </c>
      <c r="C21" s="49" t="inlineStr">
        <is>
          <t>Medium</t>
        </is>
      </c>
      <c r="D21" s="49" t="inlineStr">
        <is>
          <t>High</t>
        </is>
      </c>
      <c r="E21" s="49" t="inlineStr">
        <is>
          <t>Do not hire or move to AR until the exclusive is signed. Treat 2,000–3,000 homes/year as high-risk.</t>
        </is>
      </c>
      <c r="F21" s="49" t="inlineStr">
        <is>
          <t>Bob / DJ Alexander</t>
        </is>
      </c>
      <c r="G21" s="84" t="n">
        <v>46477</v>
      </c>
      <c r="H21" s="49" t="inlineStr">
        <is>
          <t>Open</t>
        </is>
      </c>
      <c r="I21" s="49" t="inlineStr">
        <is>
          <t>Would be enough for 3–4 advisers IF it lands. Not confirmed.</t>
        </is>
      </c>
    </row>
    <row r="22" ht="48" customHeight="1">
      <c r="A22" s="49" t="inlineStr">
        <is>
          <t>Trading-style vs appointed-representative status</t>
        </is>
      </c>
      <c r="B22" s="49" t="inlineStr">
        <is>
          <t>Dependency</t>
        </is>
      </c>
      <c r="C22" s="49" t="inlineStr">
        <is>
          <t>Medium</t>
        </is>
      </c>
      <c r="D22" s="49" t="inlineStr">
        <is>
          <t>Medium</t>
        </is>
      </c>
      <c r="E22" s="49" t="inlineStr">
        <is>
          <t>Launch as trading style under Rosemount. Revisit AR only if advisers are recruited.</t>
        </is>
      </c>
      <c r="F22" s="49" t="inlineStr">
        <is>
          <t>Bob / Rosemount</t>
        </is>
      </c>
      <c r="G22" s="84" t="n">
        <v>46568</v>
      </c>
      <c r="H22" s="49" t="inlineStr">
        <is>
          <t>Open</t>
        </is>
      </c>
      <c r="I22" s="49" t="inlineStr">
        <is>
          <t>Ahmed Bawa: AR needed for Glasgow-scale volume.</t>
        </is>
      </c>
    </row>
    <row r="23" ht="48" customHeight="1">
      <c r="A23" s="49" t="inlineStr">
        <is>
          <t>Onboarding references, tests and due diligence</t>
        </is>
      </c>
      <c r="B23" s="49" t="inlineStr">
        <is>
          <t>Action</t>
        </is>
      </c>
      <c r="C23" s="49" t="inlineStr">
        <is>
          <t>High</t>
        </is>
      </c>
      <c r="D23" s="49" t="inlineStr">
        <is>
          <t>High</t>
        </is>
      </c>
      <c r="E23" s="49" t="inlineStr">
        <is>
          <t>Diary the tests; chase references; complete the DD pack for end-September appointment.</t>
        </is>
      </c>
      <c r="F23" s="49" t="inlineStr">
        <is>
          <t>Bob</t>
        </is>
      </c>
      <c r="G23" s="84" t="n">
        <v>46295</v>
      </c>
      <c r="H23" s="49" t="inlineStr">
        <is>
          <t>In Progress</t>
        </is>
      </c>
      <c r="I23" s="49" t="inlineStr">
        <is>
          <t>Appointment possible end Sep 2026 subject to refs / tests / DD.</t>
        </is>
      </c>
    </row>
    <row r="24" ht="48" customHeight="1">
      <c r="A24" s="49" t="inlineStr">
        <is>
          <t>International / overseas buyer advice rules not yet agreed</t>
        </is>
      </c>
      <c r="B24" s="49" t="inlineStr">
        <is>
          <t>Risk</t>
        </is>
      </c>
      <c r="C24" s="49" t="inlineStr">
        <is>
          <t>Medium</t>
        </is>
      </c>
      <c r="D24" s="49" t="inlineStr">
        <is>
          <t>High</t>
        </is>
      </c>
      <c r="E24" s="49" t="inlineStr">
        <is>
          <t>No international advice until Rosemount compliance confirms. Refer if needed.</t>
        </is>
      </c>
      <c r="F24" s="49" t="inlineStr">
        <is>
          <t>Bob / Rosemount compliance</t>
        </is>
      </c>
      <c r="G24" s="84" t="n">
        <v>46387</v>
      </c>
      <c r="H24" s="49" t="inlineStr">
        <is>
          <t>Open</t>
        </is>
      </c>
      <c r="I24" s="49" t="inlineStr">
        <is>
          <t>Edinburgh and St Andrews demand discussed; permissions still TBC.</t>
        </is>
      </c>
    </row>
    <row r="25" ht="48" customHeight="1">
      <c r="A25" s="49" t="inlineStr">
        <is>
          <t>First-year cash is tight until introducers convert (2-month lag)</t>
        </is>
      </c>
      <c r="B25" s="49" t="inlineStr">
        <is>
          <t>Risk</t>
        </is>
      </c>
      <c r="C25" s="49" t="inlineStr">
        <is>
          <t>High</t>
        </is>
      </c>
      <c r="D25" s="49" t="inlineStr">
        <is>
          <t>High</t>
        </is>
      </c>
      <c r="E25" s="49" t="inlineStr">
        <is>
          <t>Hold a personal cash buffer. Overwrite Tesla and other yellow costs. Watch Monthly Costs net vs £80–120k.</t>
        </is>
      </c>
      <c r="F25" s="49" t="inlineStr">
        <is>
          <t>Bob</t>
        </is>
      </c>
      <c r="G25" s="84" t="n">
        <v>46477</v>
      </c>
      <c r="H25" s="49" t="inlineStr">
        <is>
          <t>Open</t>
        </is>
      </c>
      <c r="I25" s="49" t="inlineStr">
        <is>
          <t>Do not treat £240k protection written as monthly cash.</t>
        </is>
      </c>
    </row>
    <row r="26" ht="48" customHeight="1">
      <c r="A26" s="49" t="inlineStr">
        <is>
          <t>Tesla Model Y lease amount unknown; company transfer needs lessor approval</t>
        </is>
      </c>
      <c r="B26" s="49" t="inlineStr">
        <is>
          <t>Risk</t>
        </is>
      </c>
      <c r="C26" s="49" t="inlineStr">
        <is>
          <t>Medium</t>
        </is>
      </c>
      <c r="D26" s="49" t="inlineStr">
        <is>
          <t>Medium</t>
        </is>
      </c>
      <c r="E26" s="49" t="inlineStr">
        <is>
          <t>Get the exact monthly from the lessor. Ask about assignment to a limited company before incorporating around the car.</t>
        </is>
      </c>
      <c r="F26" s="49" t="inlineStr">
        <is>
          <t>Bob</t>
        </is>
      </c>
      <c r="G26" s="84" t="n">
        <v>46326</v>
      </c>
      <c r="H26" s="49" t="inlineStr">
        <is>
          <t>Open</t>
        </is>
      </c>
      <c r="I26" s="49" t="inlineStr">
        <is>
          <t>3 years remaining. Monthly Costs uses ~£550 estimate.</t>
        </is>
      </c>
    </row>
    <row r="27" ht="48" customHeight="1">
      <c r="A27" s="49" t="inlineStr">
        <is>
          <t>Website build funding not secured</t>
        </is>
      </c>
      <c r="B27" s="49" t="inlineStr">
        <is>
          <t>Action</t>
        </is>
      </c>
      <c r="C27" s="49" t="inlineStr">
        <is>
          <t>Medium</t>
        </is>
      </c>
      <c r="D27" s="49" t="inlineStr">
        <is>
          <t>Medium</t>
        </is>
      </c>
      <c r="E27" s="49" t="inlineStr">
        <is>
          <t>Contact Business Gateway. Do not commit the ~£2,500 build until grant / funding is known.</t>
        </is>
      </c>
      <c r="F27" s="49" t="inlineStr">
        <is>
          <t>Bob</t>
        </is>
      </c>
      <c r="G27" s="84" t="n">
        <v>46326</v>
      </c>
      <c r="H27" s="49" t="inlineStr">
        <is>
          <t>Open</t>
        </is>
      </c>
      <c r="I27" s="49" t="inlineStr">
        <is>
          <t>Discussed 3 Sep 2026. Launch cost is on Monthly Costs as Estimate.</t>
        </is>
      </c>
    </row>
    <row r="28" ht="48" customHeight="1">
      <c r="A28" s="49" t="inlineStr">
        <is>
          <t>Compliance bot / Tribe check not yet live</t>
        </is>
      </c>
      <c r="B28" s="49" t="inlineStr">
        <is>
          <t>Action</t>
        </is>
      </c>
      <c r="C28" s="49" t="inlineStr">
        <is>
          <t>Medium</t>
        </is>
      </c>
      <c r="D28" s="49" t="inlineStr">
        <is>
          <t>High</t>
        </is>
      </c>
      <c r="E28" s="49" t="inlineStr">
        <is>
          <t>Stand up the Tribe-document compliance Grokbot and switch on the automated Tribe check.</t>
        </is>
      </c>
      <c r="F28" s="49" t="inlineStr">
        <is>
          <t>Bob</t>
        </is>
      </c>
      <c r="G28" s="84" t="n">
        <v>46288</v>
      </c>
      <c r="H28" s="49" t="inlineStr">
        <is>
          <t>In Progress</t>
        </is>
      </c>
      <c r="I28" s="49" t="inlineStr">
        <is>
          <t>26 Aug notes: reminder ~four weeks later (around 23 Sep 2026).</t>
        </is>
      </c>
    </row>
    <row r="29" ht="22" customHeight="1">
      <c r="A29" s="49" t="n"/>
      <c r="B29" s="49" t="n"/>
      <c r="C29" s="49" t="n"/>
      <c r="D29" s="49" t="n"/>
      <c r="E29" s="49" t="n"/>
      <c r="F29" s="49" t="n"/>
      <c r="G29" s="54" t="n"/>
      <c r="H29" s="49" t="n"/>
      <c r="I29" s="49" t="n"/>
    </row>
    <row r="30" ht="22" customHeight="1">
      <c r="A30" s="49" t="n"/>
      <c r="B30" s="49" t="n"/>
      <c r="C30" s="49" t="n"/>
      <c r="D30" s="49" t="n"/>
      <c r="E30" s="49" t="n"/>
      <c r="F30" s="49" t="n"/>
      <c r="G30" s="54" t="n"/>
      <c r="H30" s="49" t="n"/>
      <c r="I30" s="49" t="n"/>
    </row>
    <row r="31" ht="22" customHeight="1">
      <c r="A31" s="49" t="n"/>
      <c r="B31" s="49" t="n"/>
      <c r="C31" s="49" t="n"/>
      <c r="D31" s="49" t="n"/>
      <c r="E31" s="49" t="n"/>
      <c r="F31" s="49" t="n"/>
      <c r="G31" s="54" t="n"/>
      <c r="H31" s="49" t="n"/>
      <c r="I31" s="49" t="n"/>
    </row>
    <row r="32" ht="22" customHeight="1">
      <c r="A32" s="49" t="n"/>
      <c r="B32" s="49" t="n"/>
      <c r="C32" s="49" t="n"/>
      <c r="D32" s="49" t="n"/>
      <c r="E32" s="49" t="n"/>
      <c r="F32" s="49" t="n"/>
      <c r="G32" s="54" t="n"/>
      <c r="H32" s="49" t="n"/>
      <c r="I32" s="49" t="n"/>
    </row>
    <row r="33" ht="18" customHeight="1">
      <c r="A33" s="81" t="n"/>
      <c r="B33" s="81" t="n"/>
      <c r="C33" s="81" t="n"/>
      <c r="D33" s="81" t="n"/>
      <c r="E33" s="81" t="n"/>
      <c r="F33" s="81" t="n"/>
      <c r="G33" s="81" t="n"/>
      <c r="H33" s="81" t="n"/>
      <c r="I33" s="81" t="n"/>
    </row>
    <row r="34" ht="18" customHeight="1">
      <c r="A34" s="81" t="n"/>
      <c r="B34" s="81" t="n"/>
      <c r="C34" s="81" t="n"/>
      <c r="D34" s="81" t="n"/>
      <c r="E34" s="81" t="n"/>
      <c r="F34" s="81" t="n"/>
      <c r="G34" s="81" t="n"/>
      <c r="H34" s="81" t="n"/>
      <c r="I34" s="81" t="n"/>
    </row>
    <row r="35" ht="18" customHeight="1">
      <c r="A35" s="81" t="n"/>
      <c r="B35" s="81" t="n"/>
      <c r="C35" s="81" t="n"/>
      <c r="D35" s="81" t="n"/>
      <c r="E35" s="81" t="n"/>
      <c r="F35" s="81" t="n"/>
      <c r="G35" s="81" t="n"/>
      <c r="H35" s="81" t="n"/>
      <c r="I35" s="81" t="n"/>
    </row>
    <row r="36" ht="18" customHeight="1">
      <c r="A36" s="81" t="n"/>
      <c r="B36" s="81" t="n"/>
      <c r="C36" s="81" t="n"/>
      <c r="D36" s="81" t="n"/>
      <c r="E36" s="81" t="n"/>
      <c r="F36" s="81" t="n"/>
      <c r="G36" s="81" t="n"/>
      <c r="H36" s="81" t="n"/>
      <c r="I36" s="81" t="n"/>
    </row>
  </sheetData>
  <mergeCells count="4">
    <mergeCell ref="A15:I15"/>
    <mergeCell ref="A5:D5"/>
    <mergeCell ref="A1:I2"/>
    <mergeCell ref="A3:I3"/>
  </mergeCells>
  <conditionalFormatting sqref="B6">
    <cfRule type="containsText" priority="1" operator="containsText" dxfId="0" text="PASS"/>
  </conditionalFormatting>
  <dataValidations count="3">
    <dataValidation sqref="B17:B36" showDropDown="0" showInputMessage="0" showErrorMessage="0" allowBlank="0" type="list">
      <formula1>"Action,Risk,Dependency"</formula1>
    </dataValidation>
    <dataValidation sqref="C17:D36" showDropDown="0" showInputMessage="0" showErrorMessage="0" allowBlank="0" type="list">
      <formula1>"Low,Medium,High"</formula1>
    </dataValidation>
    <dataValidation sqref="H17:H36" showDropDown="0" showInputMessage="0" showErrorMessage="0" allowBlank="0" type="list">
      <formula1>"Open,In Progress,At Risk,Blocked,Complete,Closed"</formula1>
    </dataValidation>
  </dataValidations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David Wright</dc:creator>
  <dcterms:created xsi:type="dcterms:W3CDTF">2026-08-19T10:10:31Z</dcterms:created>
  <dcterms:modified xsi:type="dcterms:W3CDTF">2026-09-09T08:40:32Z</dcterms:modified>
  <cp:lastModifiedBy>David Wright</cp:lastModifiedBy>
</cp:coreProperties>
</file>