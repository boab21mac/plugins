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49" t="inlineStr">
        <is>
          <t>TBC — intending trading style under Rosemount Financial Solutions (IFA) Ltd FRN 535515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49" t="inlineStr">
        <is>
          <t>N/A going forward (previous network MAB Limited FRN 455545; MAB Derby 466154)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49" t="inlineStr">
        <is>
          <t>N/A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49" t="inlineStr">
        <is>
          <t>N/A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49" t="inlineStr">
        <is>
          <t>No — no personal client bank to novate</t>
        </is>
      </c>
      <c r="C13" s="52" t="n"/>
      <c r="D13" s="52" t="n"/>
      <c r="E13" s="52" t="n"/>
      <c r="F13" s="52" t="n"/>
      <c r="G13" s="52" t="n"/>
      <c r="H13" s="53" t="n"/>
    </row>
    <row r="14" ht="36" customHeight="1">
      <c r="A14" s="13" t="inlineStr">
        <is>
          <t>Fee structure</t>
        </is>
      </c>
      <c r="B14" s="49" t="inlineStr">
        <is>
          <t>Lender procuration + protection commission; client fees by agreement on complex / international cases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49" t="inlineStr">
        <is>
          <t>CeMAP / Cert CII (MP). Later-life / equity release TBC with Rosemount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(Bob) Duncan</t>
        </is>
      </c>
      <c r="B20" s="49" t="inlineStr">
        <is>
          <t>Director / Key Individual</t>
        </is>
      </c>
      <c r="C20" s="50" t="inlineStr">
        <is>
          <t>Yes</t>
        </is>
      </c>
      <c r="D20" s="50" t="inlineStr">
        <is>
          <t>Self-employed</t>
        </is>
      </c>
      <c r="E20" s="50" t="inlineStr">
        <is>
          <t>Edinburgh / East Lothian</t>
        </is>
      </c>
      <c r="F20" s="50" t="inlineStr">
        <is>
          <t>CeMAP / Cert CII (MP)</t>
        </is>
      </c>
      <c r="G20" s="50" t="inlineStr">
        <is>
          <t>Self (launch)</t>
        </is>
      </c>
      <c r="H20" s="50" t="inlineStr">
        <is>
          <t>No</t>
        </is>
      </c>
    </row>
    <row r="21" ht="32" customHeight="1">
      <c r="A21" s="49" t="inlineStr">
        <is>
          <t>TBC</t>
        </is>
      </c>
      <c r="B21" s="49" t="inlineStr">
        <is>
          <t>Admin / Case Manager (future)</t>
        </is>
      </c>
      <c r="C21" s="50" t="inlineStr">
        <is>
          <t>No</t>
        </is>
      </c>
      <c r="D21" s="50" t="inlineStr">
        <is>
          <t>TBC</t>
        </is>
      </c>
      <c r="E21" s="50" t="inlineStr">
        <is>
          <t>TBC</t>
        </is>
      </c>
      <c r="F21" s="50" t="inlineStr">
        <is>
          <t>N/A</t>
        </is>
      </c>
      <c r="G21" s="50" t="inlineStr">
        <is>
          <t>TBC</t>
        </is>
      </c>
      <c r="H21" s="50" t="inlineStr">
        <is>
          <t>No</t>
        </is>
      </c>
    </row>
    <row r="22" ht="32" customHeight="1">
      <c r="A22" s="49" t="inlineStr">
        <is>
          <t>TBC</t>
        </is>
      </c>
      <c r="B22" s="49" t="inlineStr">
        <is>
          <t>Adviser — AR transition (future)</t>
        </is>
      </c>
      <c r="C22" s="50" t="inlineStr">
        <is>
          <t>No</t>
        </is>
      </c>
      <c r="D22" s="50" t="inlineStr">
        <is>
          <t>TBC</t>
        </is>
      </c>
      <c r="E22" s="50" t="inlineStr">
        <is>
          <t>TBC</t>
        </is>
      </c>
      <c r="F22" s="50" t="inlineStr">
        <is>
          <t>CeMAP TBC</t>
        </is>
      </c>
      <c r="G22" s="50" t="inlineStr">
        <is>
          <t>TBC</t>
        </is>
      </c>
      <c r="H22" s="50" t="inlineStr">
        <is>
          <t>No</t>
        </is>
      </c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18" customHeight="1">
      <c r="A24" s="36" t="n"/>
      <c r="B24" s="36" t="n"/>
      <c r="C24" s="36" t="n"/>
      <c r="D24" s="36" t="n"/>
      <c r="E24" s="36" t="n"/>
      <c r="F24" s="36" t="n"/>
      <c r="G24" s="36" t="n"/>
      <c r="H24" s="36" t="n"/>
    </row>
    <row r="25" ht="18" customHeight="1">
      <c r="A25" s="36" t="n"/>
      <c r="B25" s="36" t="n"/>
      <c r="C25" s="36" t="n"/>
      <c r="D25" s="36" t="n"/>
      <c r="E25" s="36" t="n"/>
      <c r="F25" s="36" t="n"/>
      <c r="G25" s="36" t="n"/>
      <c r="H25" s="36" t="n"/>
    </row>
    <row r="26" ht="18" customHeight="1">
      <c r="A26" s="36" t="n"/>
      <c r="B26" s="36" t="n"/>
      <c r="C26" s="36" t="n"/>
      <c r="D26" s="36" t="n"/>
      <c r="E26" s="36" t="n"/>
      <c r="F26" s="36" t="n"/>
      <c r="G26" s="36" t="n"/>
      <c r="H26" s="36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 / David Alexander</t>
        </is>
      </c>
      <c r="B36" s="49" t="inlineStr">
        <is>
          <t>Email / phone introduction</t>
        </is>
      </c>
      <c r="C36" s="49" t="inlineStr">
        <is>
          <t>Estate agency</t>
        </is>
      </c>
      <c r="D36" s="50" t="inlineStr">
        <is>
          <t>TBC</t>
        </is>
      </c>
      <c r="E36" s="51" t="inlineStr">
        <is>
          <t>TBC</t>
        </is>
      </c>
      <c r="F36" s="49" t="inlineStr">
        <is>
          <t>Primary introducer Edinburgh &amp; Glasgow</t>
        </is>
      </c>
    </row>
    <row r="37" ht="36" customHeight="1">
      <c r="A37" s="49" t="inlineStr">
        <is>
          <t>Hannah Fraser</t>
        </is>
      </c>
      <c r="B37" s="49" t="inlineStr">
        <is>
          <t>Email / phone introduction</t>
        </is>
      </c>
      <c r="C37" s="49" t="inlineStr">
        <is>
          <t>Solicitor / property</t>
        </is>
      </c>
      <c r="D37" s="50" t="inlineStr">
        <is>
          <t>TBC</t>
        </is>
      </c>
      <c r="E37" s="51" t="inlineStr">
        <is>
          <t>TBC</t>
        </is>
      </c>
      <c r="F37" s="49" t="inlineStr">
        <is>
          <t>Senior property partner; agreed primary Edinburgh introducer</t>
        </is>
      </c>
    </row>
    <row r="38" ht="36" customHeight="1">
      <c r="A38" s="49" t="inlineStr">
        <is>
          <t>Ralph’s Thayer (Ivan Ralph)</t>
        </is>
      </c>
      <c r="B38" s="49" t="inlineStr">
        <is>
          <t>Referral partnership outreach</t>
        </is>
      </c>
      <c r="C38" s="49" t="inlineStr">
        <is>
          <t>Referral partner</t>
        </is>
      </c>
      <c r="D38" s="50" t="inlineStr">
        <is>
          <t>TBC</t>
        </is>
      </c>
      <c r="E38" s="51" t="inlineStr">
        <is>
          <t>TBC</t>
        </is>
      </c>
      <c r="F38" s="49" t="inlineStr">
        <is>
          <t>Outreach 2 Sep 2026 — not yet live</t>
        </is>
      </c>
    </row>
    <row r="39" ht="36" customHeight="1">
      <c r="A39" s="49" t="inlineStr">
        <is>
          <t>Glasgow letting / estate agency (via DJ Alexander)</t>
        </is>
      </c>
      <c r="B39" s="49" t="inlineStr">
        <is>
          <t>IF confirmed — exclusive</t>
        </is>
      </c>
      <c r="C39" s="49" t="inlineStr">
        <is>
          <t>Estate / lettings</t>
        </is>
      </c>
      <c r="D39" s="50" t="inlineStr">
        <is>
          <t>TBC</t>
        </is>
      </c>
      <c r="E39" s="51" t="inlineStr">
        <is>
          <t>TBC</t>
        </is>
      </c>
      <c r="F39" s="49" t="inlineStr">
        <is>
          <t>~2,000–3,000 homes/year discussed; NOT confirmed; high risk</t>
        </is>
      </c>
    </row>
    <row r="40" ht="36" customHeight="1">
      <c r="A40" s="49" t="inlineStr">
        <is>
          <t>Website / PPC</t>
        </is>
      </c>
      <c r="B40" s="49" t="inlineStr">
        <is>
          <t>Web form</t>
        </is>
      </c>
      <c r="C40" s="49" t="inlineStr">
        <is>
          <t>Direct</t>
        </is>
      </c>
      <c r="D40" s="50" t="inlineStr">
        <is>
          <t>TBC</t>
        </is>
      </c>
      <c r="E40" s="51" t="inlineStr">
        <is>
          <t>TBC</t>
        </is>
      </c>
      <c r="F40" s="49" t="inlineStr">
        <is>
          <t>Contact Business Gateway for build funding (3 Sep 2026)</t>
        </is>
      </c>
    </row>
    <row r="41" ht="36" customHeight="1">
      <c r="A41" s="49" t="inlineStr">
        <is>
          <t>BoE rate-triggered CRM emails</t>
        </is>
      </c>
      <c r="B41" s="49" t="inlineStr">
        <is>
          <t>Email campaign (hold / cut / rise)</t>
        </is>
      </c>
      <c r="C41" s="49" t="inlineStr">
        <is>
          <t>Own CRM</t>
        </is>
      </c>
      <c r="D41" s="50" t="inlineStr">
        <is>
          <t>TBC</t>
        </is>
      </c>
      <c r="E41" s="51" t="inlineStr">
        <is>
          <t>TBC</t>
        </is>
      </c>
      <c r="F41" s="49" t="inlineStr">
        <is>
          <t>Intelligent Office sequences; drafted 26 Aug 2026</t>
        </is>
      </c>
    </row>
    <row r="42" ht="36" customHeight="1">
      <c r="A42" s="49" t="inlineStr">
        <is>
          <t>Accountant introductions</t>
        </is>
      </c>
      <c r="B42" s="49" t="inlineStr">
        <is>
          <t>Professional referral</t>
        </is>
      </c>
      <c r="C42" s="49" t="inlineStr">
        <is>
          <t>Accountant</t>
        </is>
      </c>
      <c r="D42" s="50" t="inlineStr">
        <is>
          <t>TBC</t>
        </is>
      </c>
      <c r="E42" s="51" t="inlineStr">
        <is>
          <t>TBC</t>
        </is>
      </c>
      <c r="F42" s="49" t="inlineStr">
        <is>
          <t>Via self-employed / complex cases</t>
        </is>
      </c>
    </row>
    <row r="43" ht="36" customHeight="1">
      <c r="A43" s="49" t="inlineStr">
        <is>
          <t>International / overseas buyers</t>
        </is>
      </c>
      <c r="B43" s="49" t="inlineStr">
        <is>
          <t>Introducer / website</t>
        </is>
      </c>
      <c r="C43" s="49" t="inlineStr">
        <is>
          <t>Specialist</t>
        </is>
      </c>
      <c r="D43" s="50" t="inlineStr">
        <is>
          <t>TBC</t>
        </is>
      </c>
      <c r="E43" s="51" t="inlineStr">
        <is>
          <t>TBC</t>
        </is>
      </c>
      <c r="F43" s="49" t="inlineStr">
        <is>
          <t>Edinburgh &amp; St Andrews demand; compliance still to agree with Rosemount</t>
        </is>
      </c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5">
    <mergeCell ref="A18:H18"/>
    <mergeCell ref="B8:H8"/>
    <mergeCell ref="B14:H14"/>
    <mergeCell ref="A3:H3"/>
    <mergeCell ref="B9:H9"/>
    <mergeCell ref="B13:H13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(Bob)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46270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3" t="n">
        <v>1035000</v>
      </c>
      <c r="C7" s="36" t="n">
        <v>2</v>
      </c>
      <c r="D7" s="38" t="inlineStr">
        <is>
          <t>New Build and Retention combined</t>
        </is>
      </c>
      <c r="E7" s="40" t="n"/>
      <c r="F7" s="41" t="n"/>
    </row>
    <row r="8">
      <c r="A8" t="inlineStr">
        <is>
          <t>Protection</t>
        </is>
      </c>
      <c r="B8" s="3" t="n">
        <v>240000</v>
      </c>
      <c r="C8" s="36" t="n">
        <v>2</v>
      </c>
      <c r="D8" s="38" t="inlineStr">
        <is>
          <t>Protection income</t>
        </is>
      </c>
      <c r="E8" s="40" t="n"/>
      <c r="F8" s="41" t="n"/>
    </row>
    <row r="9">
      <c r="A9" t="inlineStr">
        <is>
          <t>Other Income</t>
        </is>
      </c>
      <c r="B9" s="55" t="n">
        <v>1500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Estimate</t>
        </is>
      </c>
      <c r="D12" s="56" t="inlineStr">
        <is>
          <t>Overwrite with actual lender mix. Not a Rosemount quote.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3000</v>
      </c>
      <c r="C13" s="50" t="inlineStr">
        <is>
          <t>Estimate</t>
        </is>
      </c>
      <c r="D13" s="56" t="inlineStr">
        <is>
          <t>Cash assumption — NOT the £240k protection written figure.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550</v>
      </c>
      <c r="C21" s="50" t="inlineStr">
        <is>
          <t>Fixed</t>
        </is>
      </c>
      <c r="D21" s="50" t="inlineStr">
        <is>
          <t>Estimate</t>
        </is>
      </c>
      <c r="E21" s="56" t="inlineStr">
        <is>
          <t>Amount UNKNOWN — 3 years remaining. Transfer needs lessor approval.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Microsoft 365</t>
        </is>
      </c>
      <c r="B26" s="64" t="n">
        <v>20</v>
      </c>
      <c r="C26" s="50" t="inlineStr">
        <is>
          <t>Fixed</t>
        </is>
      </c>
      <c r="D26" s="50" t="inlineStr">
        <is>
          <t>Estimate</t>
        </is>
      </c>
      <c r="E26" s="56" t="inlineStr">
        <is>
          <t>Business standard / equivalent.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/ email</t>
        </is>
      </c>
      <c r="B29" s="64" t="n">
        <v>15</v>
      </c>
      <c r="C29" s="50" t="inlineStr">
        <is>
          <t>Fixed</t>
        </is>
      </c>
      <c r="D29" s="50" t="inlineStr">
        <is>
          <t>Estimate</t>
        </is>
      </c>
      <c r="E29" s="56" t="inlineStr">
        <is>
          <t>duncanandcofinancial.co.uk.</t>
        </is>
      </c>
      <c r="F29" s="66">
        <f>B29*12</f>
        <v/>
      </c>
    </row>
    <row r="30" ht="28" customHeight="1">
      <c r="A30" s="63" t="inlineStr">
        <is>
          <t>Web hosting</t>
        </is>
      </c>
      <c r="B30" s="64" t="n">
        <v>25</v>
      </c>
      <c r="C30" s="50" t="inlineStr">
        <is>
          <t>Fixed</t>
        </is>
      </c>
      <c r="D30" s="50" t="inlineStr">
        <is>
          <t>Estimate</t>
        </is>
      </c>
      <c r="E30" s="56" t="inlineStr">
        <is>
          <t>If not bundled with the website grant.</t>
        </is>
      </c>
      <c r="F30" s="66">
        <f>B30*12</f>
        <v/>
      </c>
    </row>
    <row r="31" ht="28" customHeight="1">
      <c r="A31" s="63" t="inlineStr">
        <is>
          <t>AI / productivity tools</t>
        </is>
      </c>
      <c r="B31" s="64" t="n">
        <v>40</v>
      </c>
      <c r="C31" s="50" t="inlineStr">
        <is>
          <t>Variable</t>
        </is>
      </c>
      <c r="D31" s="50" t="inlineStr">
        <is>
          <t>Estimate</t>
        </is>
      </c>
      <c r="E31" s="56" t="inlineStr">
        <is>
          <t>Grok / Cursor / similar.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Stationery / postage</t>
        </is>
      </c>
      <c r="B36" s="64" t="n">
        <v>15</v>
      </c>
      <c r="C36" s="50" t="inlineStr">
        <is>
          <t>Variable</t>
        </is>
      </c>
      <c r="D36" s="50" t="inlineStr">
        <is>
          <t>Estimate</t>
        </is>
      </c>
      <c r="E36" s="56" t="inlineStr">
        <is>
          <t>IDV, packs, post.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1200</v>
      </c>
      <c r="C42" s="50" t="inlineStr">
        <is>
          <t>One-off</t>
        </is>
      </c>
      <c r="D42" s="50" t="inlineStr">
        <is>
          <t>Estimate</t>
        </is>
      </c>
      <c r="E42" s="56" t="inlineStr">
        <is>
          <t>Replace / dedicated work machine.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2500</v>
      </c>
      <c r="C43" s="50" t="inlineStr">
        <is>
          <t>One-off</t>
        </is>
      </c>
      <c r="D43" s="50" t="inlineStr">
        <is>
          <t>Estimate</t>
        </is>
      </c>
      <c r="E43" s="56" t="inlineStr">
        <is>
          <t>Or Business Gateway funded — set to 0 if grant covers it.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70" t="n">
        <v>50</v>
      </c>
      <c r="C44" s="50" t="inlineStr">
        <is>
          <t>One-off</t>
        </is>
      </c>
      <c r="D44" s="50" t="inlineStr">
        <is>
          <t>Estimate</t>
        </is>
      </c>
      <c r="E44" s="56" t="inlineStr">
        <is>
          <t>If limited company route is chosen (20 Aug consult).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Mortgage cash = Financial Plan mortgage written × yellow procuration % (default 0.35%) × (1 − 10% retention). 12-month view applies the 2-month lag, so Jan–Feb 2027 mortgage/protection cash is nil unless you model 2026 completions.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Network fee £75/week = £325/month is Confirmed. 10% mortgage and 15% protection retention are Confirmed (Ahmed Bawa, 2 Sep 2026).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Sole trader vs limited company is still open (20 Aug consult). Wife is a teacher ~£25–26k and a possible shareholder — tax advice sits with the accountant, not this sheet.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2026-09-05T14:55:39Z</dcterms:modified>
  <cp:lastModifiedBy>David Wright</cp:lastModifiedBy>
</cp:coreProperties>
</file>