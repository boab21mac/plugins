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  <xf numFmtId="166" fontId="9" fillId="12" borderId="16" applyAlignment="1" pivotButton="0" quotePrefix="0" xfId="0">
      <alignment vertical="center" wrapText="1"/>
    </xf>
    <xf numFmtId="166" fontId="0" fillId="13" borderId="16" applyAlignment="1" pivotButton="0" quotePrefix="0" xfId="0">
      <alignment vertical="center" wrapText="1"/>
    </xf>
    <xf numFmtId="164" fontId="9" fillId="12" borderId="1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</t>
        </is>
      </c>
      <c r="B36" s="49" t="inlineStr">
        <is>
          <t>Email introduction (Edinburgh &amp; Lothians)</t>
        </is>
      </c>
      <c r="C36" s="49" t="inlineStr">
        <is>
          <t>Estate agent</t>
        </is>
      </c>
      <c r="D36" s="49" t="inlineStr">
        <is>
          <t>5–7 leads a month</t>
        </is>
      </c>
      <c r="E36" s="89" t="inlineStr">
        <is>
          <t>1 in 3 conversion</t>
        </is>
      </c>
      <c r="F36" s="49" t="inlineStr">
        <is>
          <t>David Alexander</t>
        </is>
      </c>
    </row>
    <row r="37" ht="36" customHeight="1">
      <c r="A37" s="49" t="inlineStr">
        <is>
          <t>Thorntons Solicitors</t>
        </is>
      </c>
      <c r="B37" s="49" t="inlineStr">
        <is>
          <t>Email introduction (Edinburgh &amp; Lothians)</t>
        </is>
      </c>
      <c r="C37" s="49" t="inlineStr">
        <is>
          <t>Solicitor</t>
        </is>
      </c>
      <c r="D37" s="49" t="inlineStr">
        <is>
          <t>3–7 leads a month</t>
        </is>
      </c>
      <c r="E37" s="89" t="inlineStr">
        <is>
          <t>1 in 3 conversion</t>
        </is>
      </c>
      <c r="F37" s="49" t="inlineStr">
        <is>
          <t>Hannah Fraser</t>
        </is>
      </c>
    </row>
    <row r="38" ht="36" customHeight="1">
      <c r="A38" s="49" t="inlineStr">
        <is>
          <t>TBC — system referral process</t>
        </is>
      </c>
      <c r="B38" s="49" t="inlineStr">
        <is>
          <t>System-related referral process</t>
        </is>
      </c>
      <c r="C38" s="49" t="inlineStr">
        <is>
          <t>Estate agent</t>
        </is>
      </c>
      <c r="D38" s="49" t="inlineStr">
        <is>
          <t>10–20 leads a week (estimate)</t>
        </is>
      </c>
      <c r="E38" s="89" t="inlineStr">
        <is>
          <t>1 in 3 conversion</t>
        </is>
      </c>
      <c r="F38" s="49" t="inlineStr">
        <is>
          <t>No notes</t>
        </is>
      </c>
    </row>
    <row r="39" ht="36" customHeight="1">
      <c r="A39" s="86" t="n"/>
      <c r="B39" s="86" t="n"/>
      <c r="C39" s="86" t="n"/>
      <c r="D39" s="86" t="n"/>
      <c r="E39" s="90" t="n"/>
      <c r="F39" s="86" t="n"/>
    </row>
    <row r="40" ht="36" customHeight="1">
      <c r="A40" s="86" t="n"/>
      <c r="B40" s="86" t="n"/>
      <c r="C40" s="86" t="n"/>
      <c r="D40" s="86" t="n"/>
      <c r="E40" s="90" t="n"/>
      <c r="F40" s="86" t="n"/>
    </row>
    <row r="41" ht="36" customHeight="1">
      <c r="A41" s="86" t="n"/>
      <c r="B41" s="86" t="n"/>
      <c r="C41" s="86" t="n"/>
      <c r="D41" s="86" t="n"/>
      <c r="E41" s="90" t="n"/>
      <c r="F41" s="86" t="n"/>
    </row>
    <row r="42" ht="36" customHeight="1">
      <c r="A42" s="86" t="n"/>
      <c r="B42" s="86" t="n"/>
      <c r="C42" s="86" t="n"/>
      <c r="D42" s="86" t="n"/>
      <c r="E42" s="90" t="n"/>
      <c r="F42" s="86" t="n"/>
    </row>
    <row r="43" ht="36" customHeight="1">
      <c r="A43" s="86" t="n"/>
      <c r="B43" s="86" t="n"/>
      <c r="C43" s="86" t="n"/>
      <c r="D43" s="86" t="n"/>
      <c r="E43" s="90" t="n"/>
      <c r="F43" s="86" t="n"/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46300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91" t="n">
        <v>790000</v>
      </c>
      <c r="C7" s="36" t="n">
        <v>2</v>
      </c>
      <c r="D7" s="38" t="inlineStr">
        <is>
          <t>Named sources only (DJ Alexander + Thorntons). Mid-point of 3–5 completions × £180k–£250k. Income = 0.35% of this written amount.</t>
        </is>
      </c>
      <c r="E7" s="40" t="n"/>
      <c r="F7" s="41" t="n"/>
    </row>
    <row r="8">
      <c r="A8" t="inlineStr">
        <is>
          <t>Protection</t>
        </is>
      </c>
      <c r="B8" s="91" t="n">
        <v>2000</v>
      </c>
      <c r="C8" s="36" t="n">
        <v>2</v>
      </c>
      <c r="D8" s="38" t="inlineStr">
        <is>
          <t>Cash: £1,000 per protection case; 1–3 cases a month (mid £2,000). Not a large written-volume figure.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Confirmed</t>
        </is>
      </c>
      <c r="D12" s="56" t="inlineStr">
        <is>
          <t>Robert Duncan: mortgage income is 0.35% of borrowing. Typical loan £180k–£250k.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2000</v>
      </c>
      <c r="C13" s="50" t="inlineStr">
        <is>
          <t>Confirmed</t>
        </is>
      </c>
      <c r="D13" s="56" t="inlineStr">
        <is>
          <t>Robert: £1,000 per case, 1–3 cases a month. Mid-point £2,000 cash before 15% retention.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Typical completed mortgage: £180,000–£250,000. Income = 0.35% of that borrowing (confirmed by Robert).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Named sources only (DJ 5–7 + Thorntons 3–7, 1 in 3): about 3–5 completions/month. Mid written ≈ £790k; mid income before network ≈ £2,800.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If TBC system 10–20/week is included at 1 in 3, written jumps to several million a month. Decide whether that sits in the 2027 target.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2026-09-06T18:07:41Z</dcterms:modified>
  <cp:lastModifiedBy>David Wright</cp:lastModifiedBy>
</cp:coreProperties>
</file>